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pro365-my.sharepoint.com/personal/pu20664835_wipro_com/Documents/projects/Mobily/Tracker/Billing/BillingExcels/"/>
    </mc:Choice>
  </mc:AlternateContent>
  <xr:revisionPtr revIDLastSave="3788" documentId="11_2B16CAB5099D9789F2150C05EDD1CEDDD0C19AE5" xr6:coauthVersionLast="47" xr6:coauthVersionMax="47" xr10:uidLastSave="{41F54D3A-E292-425F-9266-70468B5509F0}"/>
  <bookViews>
    <workbookView xWindow="-108" yWindow="-108" windowWidth="23256" windowHeight="13896" xr2:uid="{3B9E067B-1078-42C4-AA89-10F644550A1D}"/>
  </bookViews>
  <sheets>
    <sheet name="Mobily billing actuals" sheetId="5" r:id="rId1"/>
  </sheets>
  <externalReferences>
    <externalReference r:id="rId2"/>
  </externalReferences>
  <definedNames>
    <definedName name="_xlnm._FilterDatabase" localSheetId="0" hidden="1">'Mobily billing actuals'!$A$1:$P$34</definedName>
    <definedName name="Contractor">'[1]Validation &amp; Database'!$E$50:$E$51</definedName>
    <definedName name="Contractor_Grade">'[1]Validation &amp; Database'!$A$29:$A$58</definedName>
    <definedName name="dde">#REF!</definedName>
    <definedName name="Germany_Grade">'[1]Validation &amp; Database'!$J$66:$J$70</definedName>
    <definedName name="India_Grades">'[1]Validation &amp; Database'!$J$58:$J$65</definedName>
    <definedName name="Not_Applicable">'[1]Validation &amp; Database'!$G$59</definedName>
    <definedName name="Other_Grade">'[1]Validation &amp; Database'!$A$20:$A$26</definedName>
    <definedName name="Polland_Grade">'[1]Validation &amp; Database'!$J$71:$J$76</definedName>
    <definedName name="Resource_Type">'[1]Validation &amp; Database'!$G$68:$G$69</definedName>
    <definedName name="Skill_Type">'[1]Validation &amp; Database'!$G$63:$G$65</definedName>
    <definedName name="UK_Grade">'[1]Validation &amp; Database'!$J$53:$J$57</definedName>
    <definedName name="USA_Grade">'[1]Validation &amp; Database'!$J$47:$J$52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5" l="1"/>
  <c r="H14" i="5" s="1"/>
  <c r="G16" i="5"/>
  <c r="G15" i="5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H16" i="5" l="1"/>
  <c r="O2" i="5"/>
  <c r="P2" i="5" s="1"/>
  <c r="H15" i="5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13" i="5"/>
  <c r="H13" i="5" s="1"/>
  <c r="G12" i="5"/>
  <c r="H12" i="5" s="1"/>
  <c r="G11" i="5"/>
  <c r="G4" i="5"/>
  <c r="L2" i="5" s="1"/>
  <c r="G3" i="5"/>
  <c r="H3" i="5" s="1"/>
  <c r="G2" i="5"/>
  <c r="H2" i="5" s="1"/>
  <c r="H11" i="5" l="1"/>
  <c r="H4" i="5"/>
  <c r="O36" i="5" l="1"/>
  <c r="P36" i="5" l="1"/>
  <c r="G34" i="5" l="1"/>
  <c r="H34" i="5" s="1"/>
  <c r="G33" i="5"/>
  <c r="H33" i="5" s="1"/>
  <c r="G32" i="5"/>
  <c r="H32" i="5" s="1"/>
  <c r="AF2" i="5"/>
  <c r="K2" i="5" s="1"/>
  <c r="M2" i="5" l="1"/>
  <c r="L36" i="5" l="1"/>
  <c r="K36" i="5"/>
  <c r="N2" i="5"/>
  <c r="M36" i="5" l="1"/>
  <c r="N3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tc={4E144122-168A-4579-836E-1848B339D085}</author>
  </authors>
  <commentList>
    <comment ref="V29" authorId="0" shapeId="0" xr:uid="{4E144122-168A-4579-836E-1848B339D0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Mobily 16, as first few day access card was not there. Mail in progress but followup need to be expedited</t>
      </text>
    </comment>
  </commentList>
</comments>
</file>

<file path=xl/sharedStrings.xml><?xml version="1.0" encoding="utf-8"?>
<sst xmlns="http://schemas.openxmlformats.org/spreadsheetml/2006/main" count="109" uniqueCount="71">
  <si>
    <t>Oct '25</t>
  </si>
  <si>
    <t>Nov '25</t>
  </si>
  <si>
    <t>Dec '25</t>
  </si>
  <si>
    <t>Rajendra Mukunda</t>
  </si>
  <si>
    <t>SNO</t>
  </si>
  <si>
    <t>Resource</t>
  </si>
  <si>
    <t>Date onboarded</t>
  </si>
  <si>
    <t>Task ID</t>
  </si>
  <si>
    <t>Estimator Points</t>
  </si>
  <si>
    <t>Current Milestone</t>
  </si>
  <si>
    <t>Invoicing
calendar</t>
  </si>
  <si>
    <t xml:space="preserve">Invoice
</t>
  </si>
  <si>
    <t>Comments</t>
  </si>
  <si>
    <t>Invoice due</t>
  </si>
  <si>
    <t>Unbilled (INR)</t>
  </si>
  <si>
    <t>Employee Name</t>
  </si>
  <si>
    <t>Billing rate</t>
  </si>
  <si>
    <t>Jan '26</t>
  </si>
  <si>
    <t>Feb '26</t>
  </si>
  <si>
    <t>Mar '26</t>
  </si>
  <si>
    <t>Apr '26</t>
  </si>
  <si>
    <t>May '26</t>
  </si>
  <si>
    <t>Jun '26</t>
  </si>
  <si>
    <t>Jul '26</t>
  </si>
  <si>
    <t>Aug '26</t>
  </si>
  <si>
    <t>Sep '26</t>
  </si>
  <si>
    <t>Oct '26</t>
  </si>
  <si>
    <t>Nov '26</t>
  </si>
  <si>
    <t>Dec '26</t>
  </si>
  <si>
    <t>Total</t>
  </si>
  <si>
    <t>Rajender Mukunda</t>
  </si>
  <si>
    <t>AE-15831</t>
  </si>
  <si>
    <t>RFS</t>
  </si>
  <si>
    <t>UAT -  Oct '25</t>
  </si>
  <si>
    <t>RFS -Nov '25</t>
  </si>
  <si>
    <t>PAC - Jan '26</t>
  </si>
  <si>
    <t>AE-16073</t>
  </si>
  <si>
    <t>UAT -  Nov '25</t>
  </si>
  <si>
    <t>RFS - Dec '25</t>
  </si>
  <si>
    <t>PAC - Feb '26</t>
  </si>
  <si>
    <t>AE-16451</t>
  </si>
  <si>
    <t>UAT</t>
  </si>
  <si>
    <t>UAT -  Dec '25</t>
  </si>
  <si>
    <t>RFS - Jan '26</t>
  </si>
  <si>
    <t>PAC - Mar '26</t>
  </si>
  <si>
    <t>AE-16452</t>
  </si>
  <si>
    <t>UAT -  Jan '26</t>
  </si>
  <si>
    <t>AE-16641</t>
  </si>
  <si>
    <t>UAT -  Feb '26</t>
  </si>
  <si>
    <t>RFS - Mar '26</t>
  </si>
  <si>
    <t>PAC - Apr '26</t>
  </si>
  <si>
    <t>AE-16642</t>
  </si>
  <si>
    <t>UAT -  Apr '26</t>
  </si>
  <si>
    <t>RFS - May '26</t>
  </si>
  <si>
    <t>PAC - Jul '26</t>
  </si>
  <si>
    <t>AE-16887</t>
  </si>
  <si>
    <t>RFS - Apr '26</t>
  </si>
  <si>
    <t>PAC - Jun '26</t>
  </si>
  <si>
    <t>RFS - Jun '26</t>
  </si>
  <si>
    <t>PAC - Aug '26</t>
  </si>
  <si>
    <t>Earned SP (basis approved TS till Apr '26)</t>
  </si>
  <si>
    <t>Billed SP (basis dump shared till Apr'26)</t>
  </si>
  <si>
    <t>Balance SP to invoice (earned - billed)
(as on Apr '26)</t>
  </si>
  <si>
    <t>invoiced</t>
  </si>
  <si>
    <t>unbilled points as per mobily dump till Apr '26</t>
  </si>
  <si>
    <t>Unbilled Amount as per mobily dump till Apr '26 (INR)</t>
  </si>
  <si>
    <t>uninvoiced</t>
  </si>
  <si>
    <t>AE-16910</t>
  </si>
  <si>
    <t>AE-17040</t>
  </si>
  <si>
    <t>UAT - May '26</t>
  </si>
  <si>
    <t>UAT - Jun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</si>
</sst>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Helvetica Neue"/>
    </font>
    <font>
      <sz val="12"/>
      <color rgb="FF000000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6" borderId="7" xfId="0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center" vertical="center"/>
    </xf>
    <xf numFmtId="0" fontId="2" fillId="7" borderId="8" xfId="0" applyFont="1" applyFill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2" fontId="2" fillId="10" borderId="9" xfId="0" applyNumberFormat="1" applyFont="1" applyFill="1" applyBorder="1" applyAlignment="1">
      <alignment horizontal="left" vertical="top" wrapText="1"/>
    </xf>
    <xf numFmtId="0" fontId="2" fillId="10" borderId="17" xfId="0" applyFont="1" applyFill="1" applyBorder="1" applyAlignment="1">
      <alignment horizontal="left" vertical="top" wrapText="1"/>
    </xf>
    <xf numFmtId="0" fontId="2" fillId="9" borderId="6" xfId="0" applyFont="1" applyFill="1" applyBorder="1" applyAlignment="1">
      <alignment horizontal="center" vertical="top"/>
    </xf>
    <xf numFmtId="1" fontId="2" fillId="9" borderId="6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9" borderId="18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2" fontId="2" fillId="9" borderId="6" xfId="0" applyNumberFormat="1" applyFont="1" applyFill="1" applyBorder="1" applyAlignment="1">
      <alignment horizontal="center" vertical="top"/>
    </xf>
    <xf numFmtId="0" fontId="3" fillId="3" borderId="0" xfId="0" applyFont="1" applyFill="1" applyAlignment="1">
      <alignment vertical="center" wrapText="1"/>
    </xf>
    <xf numFmtId="1" fontId="3" fillId="5" borderId="2" xfId="0" applyNumberFormat="1" applyFont="1" applyFill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vertical="center" wrapText="1"/>
    </xf>
    <xf numFmtId="14" fontId="6" fillId="3" borderId="2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4" fontId="6" fillId="3" borderId="15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14" fontId="6" fillId="3" borderId="11" xfId="1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15" fontId="3" fillId="0" borderId="11" xfId="0" applyNumberFormat="1" applyFont="1" applyBorder="1" applyAlignment="1">
      <alignment horizontal="center" vertical="top"/>
    </xf>
    <xf numFmtId="15" fontId="3" fillId="0" borderId="2" xfId="0" applyNumberFormat="1" applyFont="1" applyBorder="1" applyAlignment="1">
      <alignment horizontal="center" vertical="top"/>
    </xf>
    <xf numFmtId="15" fontId="3" fillId="0" borderId="15" xfId="0" applyNumberFormat="1" applyFont="1" applyBorder="1" applyAlignment="1">
      <alignment horizontal="center" vertical="top"/>
    </xf>
    <xf numFmtId="1" fontId="3" fillId="0" borderId="12" xfId="0" applyNumberFormat="1" applyFont="1" applyBorder="1" applyAlignment="1">
      <alignment horizontal="center" vertical="top"/>
    </xf>
    <xf numFmtId="1" fontId="3" fillId="0" borderId="13" xfId="0" applyNumberFormat="1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vertical="top"/>
    </xf>
    <xf numFmtId="2" fontId="3" fillId="0" borderId="13" xfId="0" applyNumberFormat="1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top"/>
    </xf>
    <xf numFmtId="2" fontId="3" fillId="0" borderId="4" xfId="0" applyNumberFormat="1" applyFont="1" applyBorder="1" applyAlignment="1">
      <alignment horizontal="center" vertical="top"/>
    </xf>
    <xf numFmtId="2" fontId="3" fillId="0" borderId="16" xfId="0" applyNumberFormat="1" applyFont="1" applyBorder="1" applyAlignment="1">
      <alignment horizontal="center" vertical="top"/>
    </xf>
    <xf numFmtId="0" fontId="4" fillId="6" borderId="3" xfId="0" applyFont="1" applyFill="1" applyBorder="1" applyAlignment="1">
      <alignment horizontal="center" vertical="top" wrapText="1"/>
    </xf>
    <xf numFmtId="2" fontId="3" fillId="0" borderId="10" xfId="0" applyNumberFormat="1" applyFont="1" applyBorder="1" applyAlignment="1">
      <alignment horizontal="center" vertical="top"/>
    </xf>
    <xf numFmtId="2" fontId="3" fillId="0" borderId="14" xfId="0" applyNumberFormat="1" applyFont="1" applyBorder="1" applyAlignment="1">
      <alignment horizontal="center" vertical="top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/>
    <xf numFmtId="2" fontId="3" fillId="0" borderId="2" xfId="0" applyNumberFormat="1" applyFont="1" applyFill="1" applyBorder="1" applyAlignment="1">
      <alignment horizontal="left" vertical="top"/>
    </xf>
    <xf numFmtId="2" fontId="3" fillId="0" borderId="2" xfId="0" applyNumberFormat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0" fillId="0" borderId="2" xfId="0" applyFill="1" applyBorder="1"/>
    <xf numFmtId="0" fontId="2" fillId="0" borderId="0" xfId="0" applyFont="1" applyFill="1" applyAlignment="1">
      <alignment vertical="center"/>
    </xf>
  </cellXfs>
  <cellStyles count="3">
    <cellStyle name="Comma 2" xfId="2" xr:uid="{65FF8A50-AD82-42C5-BEDC-FDC6E1811A9A}"/>
    <cellStyle name="Normal" xfId="0" builtinId="0"/>
    <cellStyle name="Normal 2" xfId="1" xr:uid="{F4D266D7-7221-4C3D-8313-78C1AB900D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harman-my.sharepoint.com/personal/puneet_kumar_harman_com/Documents/projects/Mobily/Tracker/Mobily%20Billing%20details/PNC_v1Mobily_15-May-2025.xlsx" TargetMode="External"/><Relationship Id="rId1" Type="http://schemas.openxmlformats.org/officeDocument/2006/relationships/externalLinkPath" Target="PNC_v1Mobily_15-May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ance"/>
      <sheetName val="Cost Rate"/>
      <sheetName val="Rate Card"/>
      <sheetName val="Resource Plan"/>
      <sheetName val="Validation &amp; Database"/>
      <sheetName val="Other Cost"/>
      <sheetName val="Overall Pnl"/>
      <sheetName val="Consolidated PNL"/>
      <sheetName val="P&amp;L Summary"/>
      <sheetName val="Resource Wise PNL"/>
      <sheetName val="Quick View"/>
      <sheetName val="Workstream PNL"/>
      <sheetName val="HCC BCC P&amp;L"/>
      <sheetName val="FX Rate"/>
      <sheetName val="Date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uneet Kumar" id="{4441D9A7-5DA4-4AB6-A7E4-F6A92E7B4E2C}" userId="S::PU20664835@wipro.com::cddd59f2-c547-4f19-b551-3fbda99a827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29" dT="2026-08-06T05:42:46.49" personId="{4441D9A7-5DA4-4AB6-A7E4-F6A92E7B4E2C}" id="{4E144122-168A-4579-836E-1848B339D085}">
    <text>Mobily 16, as first few day access card was not there. Mail in progress but followup need to be expedited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882-22A8-4A3B-82B1-5FA9A32489E0}">
  <dimension ref="A1:AK41"/>
  <sheetViews>
    <sheetView tabSelected="1" zoomScaleNormal="100" workbookViewId="0">
      <pane ySplit="1" topLeftCell="A2" activePane="bottomLeft" state="frozen"/>
      <selection pane="bottomLeft" activeCell="H10" sqref="H10"/>
    </sheetView>
  </sheetViews>
  <sheetFormatPr defaultColWidth="8.6640625" defaultRowHeight="12.75" customHeight="1"/>
  <cols>
    <col min="1" max="1" width="4.5546875" style="29" customWidth="1"/>
    <col min="2" max="2" width="9.6640625" style="29" customWidth="1"/>
    <col min="3" max="3" width="10" style="5" customWidth="1"/>
    <col min="4" max="4" width="10.6640625" style="28" customWidth="1"/>
    <col min="5" max="5" width="8.6640625" style="1" customWidth="1"/>
    <col min="6" max="6" width="9.5546875" style="5" customWidth="1"/>
    <col min="7" max="7" width="8.109375" style="1" bestFit="1" customWidth="1"/>
    <col min="8" max="8" width="9.44140625" style="1" customWidth="1"/>
    <col min="9" max="9" width="11.5546875" style="1" bestFit="1" customWidth="1"/>
    <col min="10" max="10" width="11.44140625" style="1" bestFit="1" customWidth="1"/>
    <col min="11" max="11" width="11.6640625" style="15" customWidth="1"/>
    <col min="12" max="12" width="10.6640625" style="15" customWidth="1"/>
    <col min="13" max="13" width="13.77734375" style="15" customWidth="1"/>
    <col min="14" max="14" width="9.6640625" style="15" customWidth="1"/>
    <col min="15" max="15" width="13.44140625" style="15" customWidth="1"/>
    <col min="16" max="16" width="15.6640625" style="15" customWidth="1"/>
    <col min="17" max="17" width="6.44140625" style="5" customWidth="1"/>
    <col min="18" max="18" width="23.109375" style="5" customWidth="1"/>
    <col min="19" max="19" width="9" style="5" bestFit="1" customWidth="1"/>
    <col min="20" max="21" width="6.109375" style="5" customWidth="1"/>
    <col min="22" max="22" width="6.88671875" style="5" customWidth="1"/>
    <col min="23" max="23" width="6.109375" style="5" customWidth="1"/>
    <col min="24" max="24" width="6.88671875" style="5" customWidth="1"/>
    <col min="25" max="25" width="6.109375" style="5" customWidth="1"/>
    <col min="26" max="26" width="6" style="5" customWidth="1"/>
    <col min="27" max="27" width="6.5546875" style="5" customWidth="1"/>
    <col min="28" max="29" width="6.109375" style="5" customWidth="1"/>
    <col min="30" max="30" width="6.88671875" style="5" customWidth="1"/>
    <col min="31" max="31" width="6.6640625" style="5" customWidth="1"/>
    <col min="32" max="32" width="5.109375" style="5" customWidth="1"/>
    <col min="33" max="34" width="8.6640625" style="5"/>
    <col min="37" max="16384" width="8.6640625" style="5"/>
  </cols>
  <sheetData>
    <row r="1" spans="1:37" ht="55.8" thickBot="1">
      <c r="A1" s="68" t="s">
        <v>4</v>
      </c>
      <c r="B1" s="68" t="s">
        <v>5</v>
      </c>
      <c r="C1" s="23" t="s">
        <v>6</v>
      </c>
      <c r="D1" s="16" t="s">
        <v>7</v>
      </c>
      <c r="E1" s="2" t="s">
        <v>8</v>
      </c>
      <c r="F1" s="2" t="s">
        <v>9</v>
      </c>
      <c r="G1" s="3" t="s">
        <v>10</v>
      </c>
      <c r="H1" s="3" t="s">
        <v>11</v>
      </c>
      <c r="I1" s="4" t="s">
        <v>12</v>
      </c>
      <c r="J1" s="4" t="s">
        <v>13</v>
      </c>
      <c r="K1" s="34" t="s">
        <v>60</v>
      </c>
      <c r="L1" s="34" t="s">
        <v>61</v>
      </c>
      <c r="M1" s="34" t="s">
        <v>62</v>
      </c>
      <c r="N1" s="19" t="s">
        <v>14</v>
      </c>
      <c r="O1" s="24" t="s">
        <v>64</v>
      </c>
      <c r="P1" s="25" t="s">
        <v>65</v>
      </c>
      <c r="R1" s="11" t="s">
        <v>15</v>
      </c>
      <c r="S1" s="11" t="s">
        <v>16</v>
      </c>
      <c r="T1" s="11" t="s">
        <v>17</v>
      </c>
      <c r="U1" s="33" t="s">
        <v>18</v>
      </c>
      <c r="V1" s="33" t="s">
        <v>19</v>
      </c>
      <c r="W1" s="33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2" t="s">
        <v>29</v>
      </c>
    </row>
    <row r="2" spans="1:37" ht="14.4" customHeight="1">
      <c r="A2" s="53">
        <v>1</v>
      </c>
      <c r="B2" s="46" t="s">
        <v>30</v>
      </c>
      <c r="C2" s="56">
        <v>44250</v>
      </c>
      <c r="D2" s="64" t="s">
        <v>31</v>
      </c>
      <c r="E2" s="63">
        <v>26</v>
      </c>
      <c r="F2" s="52" t="s">
        <v>32</v>
      </c>
      <c r="G2" s="20">
        <f>0.6*E2</f>
        <v>15.6</v>
      </c>
      <c r="H2" s="38">
        <f t="shared" ref="H2:H16" si="0">(G2*$S$2)</f>
        <v>163035.6</v>
      </c>
      <c r="I2" s="20" t="s">
        <v>33</v>
      </c>
      <c r="J2" s="20" t="s">
        <v>0</v>
      </c>
      <c r="K2" s="49">
        <f>AF2*1.3</f>
        <v>137.15</v>
      </c>
      <c r="L2" s="49">
        <f>SUM(G4,G7,G10:G15,G17:G24,G26:G27)</f>
        <v>152.94</v>
      </c>
      <c r="M2" s="49">
        <f>K2-L2</f>
        <v>-15.789999999999992</v>
      </c>
      <c r="N2" s="59">
        <f>(M2*S2)</f>
        <v>-165021.28999999992</v>
      </c>
      <c r="O2" s="69">
        <f>SUM(G16)</f>
        <v>7.28</v>
      </c>
      <c r="P2" s="61">
        <f>(O2*S2)</f>
        <v>76083.28</v>
      </c>
      <c r="Q2" s="5">
        <v>1.3</v>
      </c>
      <c r="R2" s="30" t="s">
        <v>3</v>
      </c>
      <c r="S2" s="31">
        <v>10451</v>
      </c>
      <c r="T2" s="14">
        <v>13</v>
      </c>
      <c r="U2" s="14">
        <v>20</v>
      </c>
      <c r="V2" s="14">
        <v>19</v>
      </c>
      <c r="W2" s="14">
        <v>14</v>
      </c>
      <c r="X2" s="14">
        <v>18</v>
      </c>
      <c r="Y2" s="14">
        <v>21.5</v>
      </c>
      <c r="Z2" s="14"/>
      <c r="AA2" s="14"/>
      <c r="AB2" s="14"/>
      <c r="AC2" s="14"/>
      <c r="AD2" s="14"/>
      <c r="AE2" s="14"/>
      <c r="AF2" s="13">
        <f t="shared" ref="AF2:AF33" si="1">SUM(T2:AE2)</f>
        <v>105.5</v>
      </c>
    </row>
    <row r="3" spans="1:37" ht="14.4" customHeight="1">
      <c r="A3" s="54"/>
      <c r="B3" s="47"/>
      <c r="C3" s="57"/>
      <c r="D3" s="44"/>
      <c r="E3" s="41"/>
      <c r="F3" s="40"/>
      <c r="G3" s="6">
        <f>0.2*E2</f>
        <v>5.2</v>
      </c>
      <c r="H3" s="9">
        <f t="shared" si="0"/>
        <v>54345.200000000004</v>
      </c>
      <c r="I3" s="6" t="s">
        <v>34</v>
      </c>
      <c r="J3" s="6" t="s">
        <v>2</v>
      </c>
      <c r="K3" s="50"/>
      <c r="L3" s="50"/>
      <c r="M3" s="50"/>
      <c r="N3" s="60"/>
      <c r="O3" s="66"/>
      <c r="P3" s="62"/>
      <c r="Q3" s="71"/>
      <c r="R3" s="72"/>
      <c r="S3" s="73"/>
      <c r="T3" s="74"/>
      <c r="U3" s="74"/>
      <c r="V3" s="74"/>
      <c r="W3" s="74"/>
      <c r="X3" s="74"/>
      <c r="Y3" s="74"/>
      <c r="Z3" s="75"/>
      <c r="AA3" s="75"/>
      <c r="AB3" s="75"/>
      <c r="AC3" s="75"/>
      <c r="AD3" s="75"/>
      <c r="AE3" s="75"/>
      <c r="AF3" s="76"/>
      <c r="AG3" s="71"/>
      <c r="AH3" s="71"/>
      <c r="AI3" s="77"/>
      <c r="AJ3" s="77"/>
      <c r="AK3" s="71"/>
    </row>
    <row r="4" spans="1:37" ht="14.4" customHeight="1">
      <c r="A4" s="54"/>
      <c r="B4" s="47"/>
      <c r="C4" s="57"/>
      <c r="D4" s="44"/>
      <c r="E4" s="41"/>
      <c r="F4" s="40"/>
      <c r="G4" s="7">
        <f>0.2*E2</f>
        <v>5.2</v>
      </c>
      <c r="H4" s="8">
        <f t="shared" si="0"/>
        <v>54345.200000000004</v>
      </c>
      <c r="I4" s="7" t="s">
        <v>35</v>
      </c>
      <c r="J4" s="7" t="s">
        <v>18</v>
      </c>
      <c r="K4" s="50"/>
      <c r="L4" s="50"/>
      <c r="M4" s="50"/>
      <c r="N4" s="60"/>
      <c r="O4" s="66"/>
      <c r="P4" s="62"/>
      <c r="Q4" s="71"/>
      <c r="R4" s="72"/>
      <c r="S4" s="75"/>
      <c r="T4" s="78"/>
      <c r="U4" s="79"/>
      <c r="V4" s="79"/>
      <c r="W4" s="79"/>
      <c r="X4" s="79"/>
      <c r="Y4" s="79"/>
      <c r="Z4" s="75"/>
      <c r="AA4" s="75"/>
      <c r="AB4" s="75"/>
      <c r="AC4" s="75"/>
      <c r="AD4" s="75"/>
      <c r="AE4" s="75"/>
      <c r="AF4" s="76"/>
      <c r="AG4" s="71"/>
      <c r="AH4" s="71"/>
      <c r="AI4" s="77"/>
      <c r="AJ4" s="77"/>
      <c r="AK4" s="71"/>
    </row>
    <row r="5" spans="1:37" ht="14.4" customHeight="1">
      <c r="A5" s="54"/>
      <c r="B5" s="47"/>
      <c r="C5" s="57"/>
      <c r="D5" s="44" t="s">
        <v>36</v>
      </c>
      <c r="E5" s="41">
        <v>26</v>
      </c>
      <c r="F5" s="40" t="s">
        <v>32</v>
      </c>
      <c r="G5" s="6">
        <f t="shared" ref="G5" si="2">0.6*E5</f>
        <v>15.6</v>
      </c>
      <c r="H5" s="9">
        <f t="shared" si="0"/>
        <v>163035.6</v>
      </c>
      <c r="I5" s="6" t="s">
        <v>37</v>
      </c>
      <c r="J5" s="6" t="s">
        <v>1</v>
      </c>
      <c r="K5" s="50"/>
      <c r="L5" s="50"/>
      <c r="M5" s="50"/>
      <c r="N5" s="60"/>
      <c r="O5" s="66"/>
      <c r="P5" s="62"/>
      <c r="Q5" s="71"/>
      <c r="R5" s="72"/>
      <c r="S5" s="75"/>
      <c r="T5" s="74"/>
      <c r="U5" s="74"/>
      <c r="V5" s="74"/>
      <c r="W5" s="74"/>
      <c r="X5" s="74"/>
      <c r="Y5" s="74"/>
      <c r="Z5" s="75"/>
      <c r="AA5" s="75"/>
      <c r="AB5" s="75"/>
      <c r="AC5" s="75"/>
      <c r="AD5" s="75"/>
      <c r="AE5" s="74"/>
      <c r="AF5" s="76"/>
      <c r="AG5" s="71"/>
      <c r="AH5" s="71"/>
      <c r="AI5" s="77"/>
      <c r="AJ5" s="77"/>
      <c r="AK5" s="71"/>
    </row>
    <row r="6" spans="1:37" ht="14.4" customHeight="1">
      <c r="A6" s="54"/>
      <c r="B6" s="47"/>
      <c r="C6" s="57"/>
      <c r="D6" s="44"/>
      <c r="E6" s="41"/>
      <c r="F6" s="40"/>
      <c r="G6" s="6">
        <f t="shared" ref="G6" si="3">0.2*E5</f>
        <v>5.2</v>
      </c>
      <c r="H6" s="9">
        <f t="shared" si="0"/>
        <v>54345.200000000004</v>
      </c>
      <c r="I6" s="6" t="s">
        <v>38</v>
      </c>
      <c r="J6" s="6" t="s">
        <v>2</v>
      </c>
      <c r="K6" s="50"/>
      <c r="L6" s="50"/>
      <c r="M6" s="50"/>
      <c r="N6" s="60"/>
      <c r="O6" s="66"/>
      <c r="P6" s="62"/>
      <c r="Q6" s="71"/>
      <c r="R6" s="72"/>
      <c r="S6" s="75"/>
      <c r="T6" s="74"/>
      <c r="U6" s="74"/>
      <c r="V6" s="74"/>
      <c r="W6" s="74"/>
      <c r="X6" s="74"/>
      <c r="Y6" s="74"/>
      <c r="Z6" s="75"/>
      <c r="AA6" s="75"/>
      <c r="AB6" s="75"/>
      <c r="AC6" s="75"/>
      <c r="AD6" s="75"/>
      <c r="AE6" s="74"/>
      <c r="AF6" s="76"/>
      <c r="AG6" s="71"/>
      <c r="AH6" s="71"/>
      <c r="AI6" s="77"/>
      <c r="AJ6" s="77"/>
      <c r="AK6" s="71"/>
    </row>
    <row r="7" spans="1:37" ht="14.4" customHeight="1">
      <c r="A7" s="54"/>
      <c r="B7" s="47"/>
      <c r="C7" s="57"/>
      <c r="D7" s="44"/>
      <c r="E7" s="41"/>
      <c r="F7" s="40"/>
      <c r="G7" s="7">
        <f t="shared" ref="G7" si="4">0.2*E5</f>
        <v>5.2</v>
      </c>
      <c r="H7" s="8">
        <f t="shared" si="0"/>
        <v>54345.200000000004</v>
      </c>
      <c r="I7" s="7" t="s">
        <v>39</v>
      </c>
      <c r="J7" s="7" t="s">
        <v>18</v>
      </c>
      <c r="K7" s="50"/>
      <c r="L7" s="50"/>
      <c r="M7" s="50"/>
      <c r="N7" s="60"/>
      <c r="O7" s="66"/>
      <c r="P7" s="62"/>
      <c r="Q7" s="71"/>
      <c r="R7" s="72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4"/>
      <c r="AF7" s="76"/>
      <c r="AG7" s="71"/>
      <c r="AH7" s="71"/>
      <c r="AI7" s="77"/>
      <c r="AJ7" s="77"/>
      <c r="AK7" s="71"/>
    </row>
    <row r="8" spans="1:37" ht="14.4" customHeight="1">
      <c r="A8" s="54"/>
      <c r="B8" s="47"/>
      <c r="C8" s="57"/>
      <c r="D8" s="44" t="s">
        <v>40</v>
      </c>
      <c r="E8" s="41">
        <v>24.5</v>
      </c>
      <c r="F8" s="40" t="s">
        <v>41</v>
      </c>
      <c r="G8" s="6">
        <f t="shared" ref="G8" si="5">0.6*E8</f>
        <v>14.7</v>
      </c>
      <c r="H8" s="9">
        <f t="shared" si="0"/>
        <v>153629.69999999998</v>
      </c>
      <c r="I8" s="6" t="s">
        <v>42</v>
      </c>
      <c r="J8" s="6" t="s">
        <v>2</v>
      </c>
      <c r="K8" s="50"/>
      <c r="L8" s="50"/>
      <c r="M8" s="50"/>
      <c r="N8" s="60"/>
      <c r="O8" s="66"/>
      <c r="P8" s="62"/>
      <c r="Q8" s="71"/>
      <c r="R8" s="80"/>
      <c r="S8" s="75"/>
      <c r="T8" s="75"/>
      <c r="U8" s="81"/>
      <c r="V8" s="81"/>
      <c r="W8" s="81"/>
      <c r="X8" s="81"/>
      <c r="Y8" s="75"/>
      <c r="Z8" s="82"/>
      <c r="AA8" s="82"/>
      <c r="AB8" s="82"/>
      <c r="AC8" s="82"/>
      <c r="AD8" s="82"/>
      <c r="AE8" s="74"/>
      <c r="AF8" s="76"/>
      <c r="AG8" s="71"/>
      <c r="AH8" s="71"/>
      <c r="AI8" s="77"/>
      <c r="AJ8" s="77"/>
      <c r="AK8" s="71"/>
    </row>
    <row r="9" spans="1:37" ht="14.4">
      <c r="A9" s="54"/>
      <c r="B9" s="47"/>
      <c r="C9" s="57"/>
      <c r="D9" s="44"/>
      <c r="E9" s="41"/>
      <c r="F9" s="40"/>
      <c r="G9" s="6">
        <f t="shared" ref="G9" si="6">0.2*E8</f>
        <v>4.9000000000000004</v>
      </c>
      <c r="H9" s="9">
        <f t="shared" si="0"/>
        <v>51209.9</v>
      </c>
      <c r="I9" s="6" t="s">
        <v>38</v>
      </c>
      <c r="J9" s="6" t="s">
        <v>2</v>
      </c>
      <c r="K9" s="50"/>
      <c r="L9" s="50"/>
      <c r="M9" s="50"/>
      <c r="N9" s="60"/>
      <c r="O9" s="66"/>
      <c r="P9" s="62"/>
      <c r="Q9" s="71"/>
      <c r="R9" s="72"/>
      <c r="S9" s="75"/>
      <c r="T9" s="75"/>
      <c r="U9" s="75"/>
      <c r="V9" s="75"/>
      <c r="W9" s="75"/>
      <c r="X9" s="75"/>
      <c r="Y9" s="75"/>
      <c r="Z9" s="82"/>
      <c r="AA9" s="82"/>
      <c r="AB9" s="82"/>
      <c r="AC9" s="82"/>
      <c r="AD9" s="82"/>
      <c r="AE9" s="74"/>
      <c r="AF9" s="76"/>
      <c r="AG9" s="71"/>
      <c r="AH9" s="71"/>
      <c r="AI9" s="77"/>
      <c r="AJ9" s="77"/>
      <c r="AK9" s="71"/>
    </row>
    <row r="10" spans="1:37" ht="14.4" customHeight="1">
      <c r="A10" s="54"/>
      <c r="B10" s="47"/>
      <c r="C10" s="57"/>
      <c r="D10" s="44"/>
      <c r="E10" s="41"/>
      <c r="F10" s="40"/>
      <c r="G10" s="7">
        <f t="shared" ref="G10" si="7">0.2*E8</f>
        <v>4.9000000000000004</v>
      </c>
      <c r="H10" s="8">
        <f t="shared" si="0"/>
        <v>51209.9</v>
      </c>
      <c r="I10" s="7" t="s">
        <v>39</v>
      </c>
      <c r="J10" s="7" t="s">
        <v>18</v>
      </c>
      <c r="K10" s="50"/>
      <c r="L10" s="50"/>
      <c r="M10" s="50"/>
      <c r="N10" s="60"/>
      <c r="O10" s="66"/>
      <c r="P10" s="62"/>
      <c r="Q10" s="71"/>
      <c r="R10" s="72"/>
      <c r="S10" s="75"/>
      <c r="T10" s="75"/>
      <c r="U10" s="75"/>
      <c r="V10" s="75"/>
      <c r="W10" s="75"/>
      <c r="X10" s="75"/>
      <c r="Y10" s="75"/>
      <c r="Z10" s="82"/>
      <c r="AA10" s="82"/>
      <c r="AB10" s="82"/>
      <c r="AC10" s="82"/>
      <c r="AD10" s="82"/>
      <c r="AE10" s="74"/>
      <c r="AF10" s="76"/>
      <c r="AG10" s="71"/>
      <c r="AH10" s="71"/>
      <c r="AI10" s="77"/>
      <c r="AJ10" s="77"/>
      <c r="AK10" s="71"/>
    </row>
    <row r="11" spans="1:37" ht="14.4" customHeight="1">
      <c r="A11" s="54"/>
      <c r="B11" s="47"/>
      <c r="C11" s="57"/>
      <c r="D11" s="44" t="s">
        <v>45</v>
      </c>
      <c r="E11" s="41">
        <v>23.66</v>
      </c>
      <c r="F11" s="40" t="s">
        <v>32</v>
      </c>
      <c r="G11" s="7">
        <f>0.6*E11</f>
        <v>14.196</v>
      </c>
      <c r="H11" s="8">
        <f t="shared" si="0"/>
        <v>148362.39600000001</v>
      </c>
      <c r="I11" s="7" t="s">
        <v>46</v>
      </c>
      <c r="J11" s="7" t="s">
        <v>17</v>
      </c>
      <c r="K11" s="50"/>
      <c r="L11" s="50"/>
      <c r="M11" s="50"/>
      <c r="N11" s="60"/>
      <c r="O11" s="66"/>
      <c r="P11" s="62"/>
      <c r="Q11" s="71"/>
      <c r="R11" s="72"/>
      <c r="S11" s="75"/>
      <c r="T11" s="75"/>
      <c r="U11" s="75"/>
      <c r="V11" s="75"/>
      <c r="W11" s="75"/>
      <c r="X11" s="75"/>
      <c r="Y11" s="75"/>
      <c r="Z11" s="82"/>
      <c r="AA11" s="82"/>
      <c r="AB11" s="82"/>
      <c r="AC11" s="82"/>
      <c r="AD11" s="82"/>
      <c r="AE11" s="74"/>
      <c r="AF11" s="76"/>
      <c r="AG11" s="71"/>
      <c r="AH11" s="71"/>
      <c r="AI11" s="77"/>
      <c r="AJ11" s="77"/>
      <c r="AK11" s="71"/>
    </row>
    <row r="12" spans="1:37" ht="14.4" customHeight="1">
      <c r="A12" s="54"/>
      <c r="B12" s="47"/>
      <c r="C12" s="57"/>
      <c r="D12" s="44"/>
      <c r="E12" s="41"/>
      <c r="F12" s="40"/>
      <c r="G12" s="7">
        <f>0.2*E11</f>
        <v>4.7320000000000002</v>
      </c>
      <c r="H12" s="8">
        <f t="shared" si="0"/>
        <v>49454.132000000005</v>
      </c>
      <c r="I12" s="7" t="s">
        <v>43</v>
      </c>
      <c r="J12" s="7" t="s">
        <v>17</v>
      </c>
      <c r="K12" s="50"/>
      <c r="L12" s="50"/>
      <c r="M12" s="50"/>
      <c r="N12" s="60"/>
      <c r="O12" s="66"/>
      <c r="P12" s="62"/>
      <c r="Q12" s="71"/>
      <c r="R12" s="72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4"/>
      <c r="AF12" s="76"/>
      <c r="AG12" s="71"/>
      <c r="AH12" s="71"/>
      <c r="AI12" s="77"/>
      <c r="AJ12" s="77"/>
      <c r="AK12" s="71"/>
    </row>
    <row r="13" spans="1:37" ht="14.4" customHeight="1">
      <c r="A13" s="54"/>
      <c r="B13" s="47"/>
      <c r="C13" s="57"/>
      <c r="D13" s="44"/>
      <c r="E13" s="41"/>
      <c r="F13" s="40"/>
      <c r="G13" s="7">
        <f>0.2*E11</f>
        <v>4.7320000000000002</v>
      </c>
      <c r="H13" s="8">
        <f t="shared" si="0"/>
        <v>49454.132000000005</v>
      </c>
      <c r="I13" s="7" t="s">
        <v>44</v>
      </c>
      <c r="J13" s="7" t="s">
        <v>19</v>
      </c>
      <c r="K13" s="50"/>
      <c r="L13" s="50"/>
      <c r="M13" s="50"/>
      <c r="N13" s="60"/>
      <c r="O13" s="66"/>
      <c r="P13" s="62"/>
      <c r="Q13" s="71"/>
      <c r="R13" s="72"/>
      <c r="S13" s="75"/>
      <c r="T13" s="74"/>
      <c r="U13" s="74"/>
      <c r="V13" s="74"/>
      <c r="W13" s="74"/>
      <c r="X13" s="74"/>
      <c r="Y13" s="74"/>
      <c r="Z13" s="75"/>
      <c r="AA13" s="75"/>
      <c r="AB13" s="75"/>
      <c r="AC13" s="75"/>
      <c r="AD13" s="75"/>
      <c r="AE13" s="74"/>
      <c r="AF13" s="76"/>
      <c r="AG13" s="71"/>
      <c r="AH13" s="71"/>
      <c r="AI13" s="77"/>
      <c r="AJ13" s="77"/>
      <c r="AK13" s="71"/>
    </row>
    <row r="14" spans="1:37" ht="14.4" customHeight="1">
      <c r="A14" s="54"/>
      <c r="B14" s="47"/>
      <c r="C14" s="57"/>
      <c r="D14" s="44" t="s">
        <v>47</v>
      </c>
      <c r="E14" s="41">
        <v>36.4</v>
      </c>
      <c r="F14" s="40" t="s">
        <v>41</v>
      </c>
      <c r="G14" s="7">
        <f>0.6*E14</f>
        <v>21.84</v>
      </c>
      <c r="H14" s="8">
        <f t="shared" si="0"/>
        <v>228249.84</v>
      </c>
      <c r="I14" s="7" t="s">
        <v>48</v>
      </c>
      <c r="J14" s="7" t="s">
        <v>18</v>
      </c>
      <c r="K14" s="50"/>
      <c r="L14" s="50"/>
      <c r="M14" s="50"/>
      <c r="N14" s="60"/>
      <c r="O14" s="66"/>
      <c r="P14" s="62"/>
      <c r="Q14" s="71"/>
      <c r="R14" s="72"/>
      <c r="S14" s="75"/>
      <c r="T14" s="75"/>
      <c r="U14" s="75"/>
      <c r="V14" s="75"/>
      <c r="W14" s="75"/>
      <c r="X14" s="75"/>
      <c r="Y14" s="75"/>
      <c r="Z14" s="75"/>
      <c r="AA14" s="83"/>
      <c r="AB14" s="83"/>
      <c r="AC14" s="83"/>
      <c r="AD14" s="83"/>
      <c r="AE14" s="74"/>
      <c r="AF14" s="76"/>
      <c r="AG14" s="71"/>
      <c r="AH14" s="71"/>
      <c r="AI14" s="77"/>
      <c r="AJ14" s="77"/>
      <c r="AK14" s="71"/>
    </row>
    <row r="15" spans="1:37" ht="14.4" customHeight="1">
      <c r="A15" s="54"/>
      <c r="B15" s="47"/>
      <c r="C15" s="57"/>
      <c r="D15" s="44"/>
      <c r="E15" s="41"/>
      <c r="F15" s="40"/>
      <c r="G15" s="7">
        <f>0.2*E14</f>
        <v>7.28</v>
      </c>
      <c r="H15" s="7">
        <f t="shared" si="0"/>
        <v>76083.28</v>
      </c>
      <c r="I15" s="7" t="s">
        <v>49</v>
      </c>
      <c r="J15" s="7" t="s">
        <v>21</v>
      </c>
      <c r="K15" s="50"/>
      <c r="L15" s="50"/>
      <c r="M15" s="50"/>
      <c r="N15" s="60"/>
      <c r="O15" s="66"/>
      <c r="P15" s="62"/>
      <c r="Q15" s="71"/>
      <c r="R15" s="72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4"/>
      <c r="AF15" s="76"/>
      <c r="AG15" s="71"/>
      <c r="AH15" s="71"/>
      <c r="AI15" s="77"/>
      <c r="AJ15" s="77"/>
      <c r="AK15" s="71"/>
    </row>
    <row r="16" spans="1:37" ht="14.4" customHeight="1">
      <c r="A16" s="54"/>
      <c r="B16" s="47"/>
      <c r="C16" s="57"/>
      <c r="D16" s="44"/>
      <c r="E16" s="41"/>
      <c r="F16" s="40"/>
      <c r="G16" s="10">
        <f>0.2*E14</f>
        <v>7.28</v>
      </c>
      <c r="H16" s="37">
        <f t="shared" si="0"/>
        <v>76083.28</v>
      </c>
      <c r="I16" s="10" t="s">
        <v>50</v>
      </c>
      <c r="J16" s="10" t="s">
        <v>20</v>
      </c>
      <c r="K16" s="50"/>
      <c r="L16" s="50"/>
      <c r="M16" s="50"/>
      <c r="N16" s="60"/>
      <c r="O16" s="66"/>
      <c r="P16" s="62"/>
      <c r="Q16" s="71"/>
      <c r="R16" s="72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4"/>
      <c r="AF16" s="76"/>
      <c r="AG16" s="71"/>
      <c r="AH16" s="71"/>
      <c r="AI16" s="77"/>
      <c r="AJ16" s="77"/>
      <c r="AK16" s="71"/>
    </row>
    <row r="17" spans="1:37" ht="14.4" customHeight="1">
      <c r="A17" s="54"/>
      <c r="B17" s="47"/>
      <c r="C17" s="57"/>
      <c r="D17" s="44" t="s">
        <v>51</v>
      </c>
      <c r="E17" s="41">
        <v>24.7</v>
      </c>
      <c r="F17" s="40" t="s">
        <v>32</v>
      </c>
      <c r="G17" s="7">
        <f t="shared" ref="G17" si="8">0.6*E17</f>
        <v>14.819999999999999</v>
      </c>
      <c r="H17" s="8">
        <f t="shared" ref="H17:H34" si="9">(G17*$S$2)</f>
        <v>154883.81999999998</v>
      </c>
      <c r="I17" s="7" t="s">
        <v>52</v>
      </c>
      <c r="J17" s="7" t="s">
        <v>20</v>
      </c>
      <c r="K17" s="50"/>
      <c r="L17" s="50"/>
      <c r="M17" s="50"/>
      <c r="N17" s="60"/>
      <c r="O17" s="66"/>
      <c r="P17" s="62"/>
      <c r="Q17" s="71"/>
      <c r="R17" s="72"/>
      <c r="S17" s="75"/>
      <c r="T17" s="74"/>
      <c r="U17" s="74"/>
      <c r="V17" s="74"/>
      <c r="W17" s="74"/>
      <c r="X17" s="74"/>
      <c r="Y17" s="74"/>
      <c r="Z17" s="75"/>
      <c r="AA17" s="75"/>
      <c r="AB17" s="75"/>
      <c r="AC17" s="75"/>
      <c r="AD17" s="75"/>
      <c r="AE17" s="74"/>
      <c r="AF17" s="76"/>
      <c r="AG17" s="71"/>
      <c r="AH17" s="71"/>
      <c r="AI17" s="77"/>
      <c r="AJ17" s="77"/>
      <c r="AK17" s="71"/>
    </row>
    <row r="18" spans="1:37" ht="14.4" customHeight="1">
      <c r="A18" s="54"/>
      <c r="B18" s="47"/>
      <c r="C18" s="57"/>
      <c r="D18" s="44"/>
      <c r="E18" s="41"/>
      <c r="F18" s="40"/>
      <c r="G18" s="7">
        <f t="shared" ref="G18" si="10">0.2*E17</f>
        <v>4.9400000000000004</v>
      </c>
      <c r="H18" s="7">
        <f t="shared" si="9"/>
        <v>51627.94</v>
      </c>
      <c r="I18" s="7" t="s">
        <v>56</v>
      </c>
      <c r="J18" s="7" t="s">
        <v>20</v>
      </c>
      <c r="K18" s="50"/>
      <c r="L18" s="50"/>
      <c r="M18" s="50"/>
      <c r="N18" s="60"/>
      <c r="O18" s="66"/>
      <c r="P18" s="62"/>
      <c r="Q18" s="71"/>
      <c r="R18" s="72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4"/>
      <c r="AF18" s="76"/>
      <c r="AG18" s="71"/>
      <c r="AH18" s="71"/>
      <c r="AI18" s="77"/>
      <c r="AJ18" s="77"/>
      <c r="AK18" s="71"/>
    </row>
    <row r="19" spans="1:37" ht="14.4" customHeight="1">
      <c r="A19" s="54"/>
      <c r="B19" s="47"/>
      <c r="C19" s="57"/>
      <c r="D19" s="44"/>
      <c r="E19" s="41"/>
      <c r="F19" s="40"/>
      <c r="G19" s="7">
        <f t="shared" ref="G19" si="11">0.2*E17</f>
        <v>4.9400000000000004</v>
      </c>
      <c r="H19" s="8">
        <f t="shared" si="9"/>
        <v>51627.94</v>
      </c>
      <c r="I19" s="7" t="s">
        <v>57</v>
      </c>
      <c r="J19" s="7" t="s">
        <v>22</v>
      </c>
      <c r="K19" s="50"/>
      <c r="L19" s="50"/>
      <c r="M19" s="50"/>
      <c r="N19" s="60"/>
      <c r="O19" s="66"/>
      <c r="P19" s="62"/>
      <c r="Q19" s="71"/>
      <c r="R19" s="72"/>
      <c r="S19" s="75"/>
      <c r="T19" s="75"/>
      <c r="U19" s="75"/>
      <c r="V19" s="75"/>
      <c r="W19" s="75"/>
      <c r="X19" s="75"/>
      <c r="Y19" s="75"/>
      <c r="Z19" s="75"/>
      <c r="AA19" s="84"/>
      <c r="AB19" s="84"/>
      <c r="AC19" s="84"/>
      <c r="AD19" s="84"/>
      <c r="AE19" s="74"/>
      <c r="AF19" s="76"/>
      <c r="AG19" s="71"/>
      <c r="AH19" s="71"/>
      <c r="AI19" s="77"/>
      <c r="AJ19" s="77"/>
      <c r="AK19" s="71"/>
    </row>
    <row r="20" spans="1:37" ht="14.4" customHeight="1">
      <c r="A20" s="54"/>
      <c r="B20" s="47"/>
      <c r="C20" s="57"/>
      <c r="D20" s="44" t="s">
        <v>55</v>
      </c>
      <c r="E20" s="41">
        <v>19.600000000000001</v>
      </c>
      <c r="F20" s="40" t="s">
        <v>32</v>
      </c>
      <c r="G20" s="7">
        <f t="shared" ref="G20" si="12">0.6*E20</f>
        <v>11.76</v>
      </c>
      <c r="H20" s="8">
        <f t="shared" si="9"/>
        <v>122903.76</v>
      </c>
      <c r="I20" s="7" t="s">
        <v>52</v>
      </c>
      <c r="J20" s="7" t="s">
        <v>20</v>
      </c>
      <c r="K20" s="50"/>
      <c r="L20" s="50"/>
      <c r="M20" s="50"/>
      <c r="N20" s="60"/>
      <c r="O20" s="66"/>
      <c r="P20" s="62"/>
      <c r="Q20" s="71"/>
      <c r="R20" s="80"/>
      <c r="S20" s="75"/>
      <c r="T20" s="75"/>
      <c r="U20" s="75"/>
      <c r="V20" s="75"/>
      <c r="W20" s="75"/>
      <c r="X20" s="75"/>
      <c r="Y20" s="75"/>
      <c r="Z20" s="75"/>
      <c r="AA20" s="85"/>
      <c r="AB20" s="83"/>
      <c r="AC20" s="85"/>
      <c r="AD20" s="83"/>
      <c r="AE20" s="74"/>
      <c r="AF20" s="76"/>
      <c r="AG20" s="71"/>
      <c r="AH20" s="71"/>
      <c r="AI20" s="77"/>
      <c r="AJ20" s="77"/>
      <c r="AK20" s="71"/>
    </row>
    <row r="21" spans="1:37" ht="14.4" customHeight="1">
      <c r="A21" s="54"/>
      <c r="B21" s="47"/>
      <c r="C21" s="57"/>
      <c r="D21" s="44"/>
      <c r="E21" s="41"/>
      <c r="F21" s="40"/>
      <c r="G21" s="7">
        <f t="shared" ref="G21" si="13">0.2*E20</f>
        <v>3.9200000000000004</v>
      </c>
      <c r="H21" s="7">
        <f t="shared" si="9"/>
        <v>40967.920000000006</v>
      </c>
      <c r="I21" s="7" t="s">
        <v>56</v>
      </c>
      <c r="J21" s="7" t="s">
        <v>20</v>
      </c>
      <c r="K21" s="50"/>
      <c r="L21" s="50"/>
      <c r="M21" s="50"/>
      <c r="N21" s="60"/>
      <c r="O21" s="66"/>
      <c r="P21" s="62"/>
      <c r="Q21" s="71"/>
      <c r="R21" s="72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4"/>
      <c r="AF21" s="76"/>
      <c r="AG21" s="71"/>
      <c r="AH21" s="71"/>
      <c r="AI21" s="77"/>
      <c r="AJ21" s="77"/>
      <c r="AK21" s="71"/>
    </row>
    <row r="22" spans="1:37" ht="14.4" customHeight="1">
      <c r="A22" s="54"/>
      <c r="B22" s="47"/>
      <c r="C22" s="57"/>
      <c r="D22" s="44"/>
      <c r="E22" s="41"/>
      <c r="F22" s="40"/>
      <c r="G22" s="7">
        <f t="shared" ref="G22" si="14">0.2*E20</f>
        <v>3.9200000000000004</v>
      </c>
      <c r="H22" s="8">
        <f t="shared" si="9"/>
        <v>40967.920000000006</v>
      </c>
      <c r="I22" s="7" t="s">
        <v>57</v>
      </c>
      <c r="J22" s="7" t="s">
        <v>22</v>
      </c>
      <c r="K22" s="50"/>
      <c r="L22" s="50"/>
      <c r="M22" s="50"/>
      <c r="N22" s="60"/>
      <c r="O22" s="66"/>
      <c r="P22" s="62"/>
      <c r="Q22" s="71"/>
      <c r="R22" s="72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4"/>
      <c r="AF22" s="76"/>
      <c r="AG22" s="71"/>
      <c r="AH22" s="71"/>
      <c r="AI22" s="77"/>
      <c r="AJ22" s="77"/>
      <c r="AK22" s="71"/>
    </row>
    <row r="23" spans="1:37" ht="14.4" customHeight="1">
      <c r="A23" s="54"/>
      <c r="B23" s="47"/>
      <c r="C23" s="57"/>
      <c r="D23" s="44" t="s">
        <v>67</v>
      </c>
      <c r="E23" s="41">
        <v>23.4</v>
      </c>
      <c r="F23" s="40" t="s">
        <v>41</v>
      </c>
      <c r="G23" s="7">
        <f t="shared" ref="G23" si="15">0.6*E23</f>
        <v>14.04</v>
      </c>
      <c r="H23" s="8">
        <f t="shared" si="9"/>
        <v>146732.03999999998</v>
      </c>
      <c r="I23" s="7" t="s">
        <v>69</v>
      </c>
      <c r="J23" s="7" t="s">
        <v>21</v>
      </c>
      <c r="K23" s="50"/>
      <c r="L23" s="50"/>
      <c r="M23" s="50"/>
      <c r="N23" s="60"/>
      <c r="O23" s="66"/>
      <c r="P23" s="62"/>
      <c r="Q23" s="71"/>
      <c r="R23" s="72"/>
      <c r="S23" s="75"/>
      <c r="T23" s="74"/>
      <c r="U23" s="74"/>
      <c r="V23" s="74"/>
      <c r="W23" s="74"/>
      <c r="X23" s="74"/>
      <c r="Y23" s="74"/>
      <c r="Z23" s="75"/>
      <c r="AA23" s="75"/>
      <c r="AB23" s="75"/>
      <c r="AC23" s="75"/>
      <c r="AD23" s="75"/>
      <c r="AE23" s="74"/>
      <c r="AF23" s="76"/>
      <c r="AG23" s="71"/>
      <c r="AH23" s="71"/>
      <c r="AI23" s="77"/>
      <c r="AJ23" s="77"/>
      <c r="AK23" s="71"/>
    </row>
    <row r="24" spans="1:37" ht="14.4" customHeight="1">
      <c r="A24" s="54"/>
      <c r="B24" s="47"/>
      <c r="C24" s="57"/>
      <c r="D24" s="44"/>
      <c r="E24" s="41"/>
      <c r="F24" s="40"/>
      <c r="G24" s="7">
        <f t="shared" ref="G24" si="16">0.2*E23</f>
        <v>4.68</v>
      </c>
      <c r="H24" s="8">
        <f t="shared" si="9"/>
        <v>48910.68</v>
      </c>
      <c r="I24" s="7" t="s">
        <v>53</v>
      </c>
      <c r="J24" s="7" t="s">
        <v>21</v>
      </c>
      <c r="K24" s="50"/>
      <c r="L24" s="50"/>
      <c r="M24" s="50"/>
      <c r="N24" s="60"/>
      <c r="O24" s="66"/>
      <c r="P24" s="62"/>
      <c r="Q24" s="71"/>
      <c r="R24" s="72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4"/>
      <c r="AF24" s="76"/>
      <c r="AG24" s="71"/>
      <c r="AH24" s="71"/>
      <c r="AI24" s="77"/>
      <c r="AJ24" s="77"/>
      <c r="AK24" s="71"/>
    </row>
    <row r="25" spans="1:37" ht="14.4" customHeight="1">
      <c r="A25" s="54"/>
      <c r="B25" s="47"/>
      <c r="C25" s="57"/>
      <c r="D25" s="44"/>
      <c r="E25" s="41"/>
      <c r="F25" s="40"/>
      <c r="G25" s="6">
        <f t="shared" ref="G25" si="17">0.2*E23</f>
        <v>4.68</v>
      </c>
      <c r="H25" s="9">
        <f t="shared" si="9"/>
        <v>48910.68</v>
      </c>
      <c r="I25" s="6" t="s">
        <v>54</v>
      </c>
      <c r="J25" s="6" t="s">
        <v>23</v>
      </c>
      <c r="K25" s="50"/>
      <c r="L25" s="50"/>
      <c r="M25" s="50"/>
      <c r="N25" s="60"/>
      <c r="O25" s="66"/>
      <c r="P25" s="62"/>
      <c r="Q25" s="71"/>
      <c r="R25" s="72"/>
      <c r="S25" s="75"/>
      <c r="T25" s="75"/>
      <c r="U25" s="75"/>
      <c r="V25" s="75"/>
      <c r="W25" s="75"/>
      <c r="X25" s="75"/>
      <c r="Y25" s="75"/>
      <c r="Z25" s="75"/>
      <c r="AA25" s="85"/>
      <c r="AB25" s="83"/>
      <c r="AC25" s="85"/>
      <c r="AD25" s="85"/>
      <c r="AE25" s="74"/>
      <c r="AF25" s="76"/>
      <c r="AG25" s="71"/>
      <c r="AH25" s="71"/>
      <c r="AI25" s="77"/>
      <c r="AJ25" s="77"/>
      <c r="AK25" s="71"/>
    </row>
    <row r="26" spans="1:37" ht="14.4" customHeight="1">
      <c r="A26" s="54"/>
      <c r="B26" s="47"/>
      <c r="C26" s="57"/>
      <c r="D26" s="44" t="s">
        <v>68</v>
      </c>
      <c r="E26" s="41">
        <v>27.3</v>
      </c>
      <c r="F26" s="40" t="s">
        <v>41</v>
      </c>
      <c r="G26" s="7">
        <f t="shared" ref="G26" si="18">0.6*E26</f>
        <v>16.38</v>
      </c>
      <c r="H26" s="8">
        <f t="shared" si="9"/>
        <v>171187.37999999998</v>
      </c>
      <c r="I26" s="7" t="s">
        <v>70</v>
      </c>
      <c r="J26" s="7" t="s">
        <v>22</v>
      </c>
      <c r="K26" s="50"/>
      <c r="L26" s="50"/>
      <c r="M26" s="50"/>
      <c r="N26" s="60"/>
      <c r="O26" s="66"/>
      <c r="P26" s="62"/>
      <c r="Q26" s="71"/>
      <c r="R26" s="72"/>
      <c r="S26" s="75"/>
      <c r="T26" s="79"/>
      <c r="U26" s="79"/>
      <c r="V26" s="79"/>
      <c r="W26" s="79"/>
      <c r="X26" s="79"/>
      <c r="Y26" s="79"/>
      <c r="Z26" s="75"/>
      <c r="AA26" s="85"/>
      <c r="AB26" s="83"/>
      <c r="AC26" s="85"/>
      <c r="AD26" s="85"/>
      <c r="AE26" s="74"/>
      <c r="AF26" s="76"/>
      <c r="AG26" s="71"/>
      <c r="AH26" s="71"/>
      <c r="AI26" s="77"/>
      <c r="AJ26" s="77"/>
      <c r="AK26" s="71"/>
    </row>
    <row r="27" spans="1:37" ht="14.4" customHeight="1">
      <c r="A27" s="54"/>
      <c r="B27" s="47"/>
      <c r="C27" s="57"/>
      <c r="D27" s="44"/>
      <c r="E27" s="41"/>
      <c r="F27" s="40"/>
      <c r="G27" s="7">
        <f t="shared" ref="G27" si="19">0.2*E26</f>
        <v>5.4600000000000009</v>
      </c>
      <c r="H27" s="7">
        <f t="shared" si="9"/>
        <v>57062.460000000006</v>
      </c>
      <c r="I27" s="7" t="s">
        <v>58</v>
      </c>
      <c r="J27" s="7" t="s">
        <v>22</v>
      </c>
      <c r="K27" s="50"/>
      <c r="L27" s="50"/>
      <c r="M27" s="50"/>
      <c r="N27" s="60"/>
      <c r="O27" s="66"/>
      <c r="P27" s="62"/>
      <c r="Q27" s="71"/>
      <c r="R27" s="72"/>
      <c r="S27" s="75"/>
      <c r="T27" s="79"/>
      <c r="U27" s="79"/>
      <c r="V27" s="79"/>
      <c r="W27" s="79"/>
      <c r="X27" s="79"/>
      <c r="Y27" s="79"/>
      <c r="Z27" s="75"/>
      <c r="AA27" s="85"/>
      <c r="AB27" s="83"/>
      <c r="AC27" s="85"/>
      <c r="AD27" s="85"/>
      <c r="AE27" s="85"/>
      <c r="AF27" s="76"/>
      <c r="AG27" s="71"/>
      <c r="AH27" s="71"/>
      <c r="AI27" s="77"/>
      <c r="AJ27" s="77"/>
      <c r="AK27" s="71"/>
    </row>
    <row r="28" spans="1:37" ht="14.4" customHeight="1">
      <c r="A28" s="54"/>
      <c r="B28" s="47"/>
      <c r="C28" s="57"/>
      <c r="D28" s="44"/>
      <c r="E28" s="41"/>
      <c r="F28" s="40"/>
      <c r="G28" s="6">
        <f t="shared" ref="G28" si="20">0.2*E26</f>
        <v>5.4600000000000009</v>
      </c>
      <c r="H28" s="9">
        <f t="shared" si="9"/>
        <v>57062.460000000006</v>
      </c>
      <c r="I28" s="6" t="s">
        <v>59</v>
      </c>
      <c r="J28" s="6" t="s">
        <v>24</v>
      </c>
      <c r="K28" s="50"/>
      <c r="L28" s="50"/>
      <c r="M28" s="50"/>
      <c r="N28" s="60"/>
      <c r="O28" s="66"/>
      <c r="P28" s="62"/>
      <c r="Q28" s="71"/>
      <c r="R28" s="72"/>
      <c r="S28" s="75"/>
      <c r="T28" s="79"/>
      <c r="U28" s="79"/>
      <c r="V28" s="79"/>
      <c r="W28" s="79"/>
      <c r="X28" s="79"/>
      <c r="Y28" s="79"/>
      <c r="Z28" s="72"/>
      <c r="AA28" s="72"/>
      <c r="AB28" s="72"/>
      <c r="AC28" s="85"/>
      <c r="AD28" s="85"/>
      <c r="AE28" s="85"/>
      <c r="AF28" s="76"/>
      <c r="AG28" s="71"/>
      <c r="AH28" s="71"/>
      <c r="AI28" s="77"/>
      <c r="AJ28" s="77"/>
      <c r="AK28" s="71"/>
    </row>
    <row r="29" spans="1:37" ht="14.4" customHeight="1">
      <c r="A29" s="54"/>
      <c r="B29" s="47"/>
      <c r="C29" s="57"/>
      <c r="D29" s="44"/>
      <c r="E29" s="41"/>
      <c r="F29" s="40" t="s">
        <v>41</v>
      </c>
      <c r="G29" s="7">
        <f t="shared" ref="G29" si="21">0.6*E29</f>
        <v>0</v>
      </c>
      <c r="H29" s="8">
        <f t="shared" si="9"/>
        <v>0</v>
      </c>
      <c r="I29" s="7"/>
      <c r="J29" s="7"/>
      <c r="K29" s="50"/>
      <c r="L29" s="50"/>
      <c r="M29" s="50"/>
      <c r="N29" s="60"/>
      <c r="O29" s="66"/>
      <c r="P29" s="62"/>
      <c r="Q29" s="71"/>
      <c r="R29" s="72"/>
      <c r="S29" s="75"/>
      <c r="T29" s="79"/>
      <c r="U29" s="79"/>
      <c r="V29" s="73"/>
      <c r="W29" s="79"/>
      <c r="X29" s="79"/>
      <c r="Y29" s="79"/>
      <c r="Z29" s="72"/>
      <c r="AA29" s="72"/>
      <c r="AB29" s="72"/>
      <c r="AC29" s="85"/>
      <c r="AD29" s="85"/>
      <c r="AE29" s="85"/>
      <c r="AF29" s="76"/>
      <c r="AG29" s="71"/>
      <c r="AH29" s="71"/>
      <c r="AI29" s="77"/>
      <c r="AJ29" s="77"/>
      <c r="AK29" s="71"/>
    </row>
    <row r="30" spans="1:37" ht="14.4" customHeight="1">
      <c r="A30" s="54"/>
      <c r="B30" s="47"/>
      <c r="C30" s="57"/>
      <c r="D30" s="44"/>
      <c r="E30" s="41"/>
      <c r="F30" s="40"/>
      <c r="G30" s="6">
        <f t="shared" ref="G30" si="22">0.2*E29</f>
        <v>0</v>
      </c>
      <c r="H30" s="6">
        <f t="shared" si="9"/>
        <v>0</v>
      </c>
      <c r="I30" s="6"/>
      <c r="J30" s="6"/>
      <c r="K30" s="50"/>
      <c r="L30" s="50"/>
      <c r="M30" s="50"/>
      <c r="N30" s="60"/>
      <c r="O30" s="66"/>
      <c r="P30" s="62"/>
      <c r="Q30" s="71"/>
      <c r="R30" s="86"/>
      <c r="S30" s="75"/>
      <c r="T30" s="75"/>
      <c r="U30" s="75"/>
      <c r="V30" s="75"/>
      <c r="W30" s="75"/>
      <c r="X30" s="75"/>
      <c r="Y30" s="75"/>
      <c r="Z30" s="72"/>
      <c r="AA30" s="72"/>
      <c r="AB30" s="72"/>
      <c r="AC30" s="85"/>
      <c r="AD30" s="85"/>
      <c r="AE30" s="85"/>
      <c r="AF30" s="76"/>
      <c r="AG30" s="71"/>
      <c r="AH30" s="71"/>
      <c r="AI30" s="77"/>
      <c r="AJ30" s="77"/>
      <c r="AK30" s="71"/>
    </row>
    <row r="31" spans="1:37" ht="14.4" customHeight="1">
      <c r="A31" s="54"/>
      <c r="B31" s="47"/>
      <c r="C31" s="57"/>
      <c r="D31" s="44"/>
      <c r="E31" s="41"/>
      <c r="F31" s="40"/>
      <c r="G31" s="6">
        <f t="shared" ref="G31" si="23">0.2*E29</f>
        <v>0</v>
      </c>
      <c r="H31" s="9">
        <f t="shared" si="9"/>
        <v>0</v>
      </c>
      <c r="I31" s="6"/>
      <c r="J31" s="6"/>
      <c r="K31" s="50"/>
      <c r="L31" s="50"/>
      <c r="M31" s="50"/>
      <c r="N31" s="60"/>
      <c r="O31" s="66"/>
      <c r="P31" s="62"/>
      <c r="Q31" s="71"/>
      <c r="R31" s="86"/>
      <c r="S31" s="75"/>
      <c r="T31" s="75"/>
      <c r="U31" s="75"/>
      <c r="V31" s="75"/>
      <c r="W31" s="75"/>
      <c r="X31" s="75"/>
      <c r="Y31" s="75"/>
      <c r="Z31" s="72"/>
      <c r="AA31" s="72"/>
      <c r="AB31" s="72"/>
      <c r="AC31" s="85"/>
      <c r="AD31" s="85"/>
      <c r="AE31" s="85"/>
      <c r="AF31" s="76"/>
      <c r="AG31" s="71"/>
      <c r="AH31" s="71"/>
      <c r="AI31" s="77"/>
      <c r="AJ31" s="77"/>
      <c r="AK31" s="71"/>
    </row>
    <row r="32" spans="1:37" ht="15" customHeight="1">
      <c r="A32" s="54"/>
      <c r="B32" s="47"/>
      <c r="C32" s="57"/>
      <c r="D32" s="44"/>
      <c r="E32" s="41"/>
      <c r="F32" s="40" t="s">
        <v>41</v>
      </c>
      <c r="G32" s="7">
        <f>0.6*E32</f>
        <v>0</v>
      </c>
      <c r="H32" s="8">
        <f t="shared" si="9"/>
        <v>0</v>
      </c>
      <c r="I32" s="7"/>
      <c r="J32" s="7"/>
      <c r="K32" s="50"/>
      <c r="L32" s="50"/>
      <c r="M32" s="50"/>
      <c r="N32" s="60"/>
      <c r="O32" s="66"/>
      <c r="P32" s="62"/>
      <c r="Q32" s="71"/>
      <c r="R32" s="86"/>
      <c r="S32" s="75"/>
      <c r="T32" s="75"/>
      <c r="U32" s="75"/>
      <c r="V32" s="73"/>
      <c r="W32" s="73"/>
      <c r="X32" s="73"/>
      <c r="Y32" s="75"/>
      <c r="Z32" s="72"/>
      <c r="AA32" s="72"/>
      <c r="AB32" s="72"/>
      <c r="AC32" s="85"/>
      <c r="AD32" s="85"/>
      <c r="AE32" s="85"/>
      <c r="AF32" s="76"/>
      <c r="AG32" s="71"/>
      <c r="AH32" s="71"/>
      <c r="AI32" s="77"/>
      <c r="AJ32" s="77"/>
      <c r="AK32" s="71"/>
    </row>
    <row r="33" spans="1:37" ht="15" customHeight="1">
      <c r="A33" s="54"/>
      <c r="B33" s="47"/>
      <c r="C33" s="57"/>
      <c r="D33" s="44"/>
      <c r="E33" s="41"/>
      <c r="F33" s="40"/>
      <c r="G33" s="6">
        <f>0.2*E32</f>
        <v>0</v>
      </c>
      <c r="H33" s="6">
        <f t="shared" si="9"/>
        <v>0</v>
      </c>
      <c r="I33" s="6"/>
      <c r="J33" s="6"/>
      <c r="K33" s="50"/>
      <c r="L33" s="50"/>
      <c r="M33" s="50"/>
      <c r="N33" s="60"/>
      <c r="O33" s="66"/>
      <c r="P33" s="62"/>
      <c r="Q33" s="71"/>
      <c r="R33" s="86"/>
      <c r="S33" s="75"/>
      <c r="T33" s="75"/>
      <c r="U33" s="75"/>
      <c r="V33" s="75"/>
      <c r="W33" s="75"/>
      <c r="X33" s="75"/>
      <c r="Y33" s="75"/>
      <c r="Z33" s="72"/>
      <c r="AA33" s="72"/>
      <c r="AB33" s="72"/>
      <c r="AC33" s="85"/>
      <c r="AD33" s="85"/>
      <c r="AE33" s="85"/>
      <c r="AF33" s="76"/>
      <c r="AG33" s="71"/>
      <c r="AH33" s="71"/>
      <c r="AI33" s="77"/>
      <c r="AJ33" s="77"/>
      <c r="AK33" s="71"/>
    </row>
    <row r="34" spans="1:37" ht="15" customHeight="1" thickBot="1">
      <c r="A34" s="55"/>
      <c r="B34" s="48"/>
      <c r="C34" s="58"/>
      <c r="D34" s="45"/>
      <c r="E34" s="42"/>
      <c r="F34" s="43"/>
      <c r="G34" s="21">
        <f>0.2*E32</f>
        <v>0</v>
      </c>
      <c r="H34" s="22">
        <f t="shared" si="9"/>
        <v>0</v>
      </c>
      <c r="I34" s="21"/>
      <c r="J34" s="21"/>
      <c r="K34" s="51"/>
      <c r="L34" s="51"/>
      <c r="M34" s="51"/>
      <c r="N34" s="65"/>
      <c r="O34" s="70"/>
      <c r="P34" s="67"/>
      <c r="Q34" s="71"/>
      <c r="R34" s="71"/>
      <c r="S34" s="71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71"/>
      <c r="AG34" s="71"/>
      <c r="AH34" s="71"/>
      <c r="AI34" s="77"/>
      <c r="AJ34" s="77"/>
      <c r="AK34" s="71"/>
    </row>
    <row r="35" spans="1:37" s="1" customFormat="1" ht="14.4" thickBot="1">
      <c r="A35" s="28"/>
      <c r="B35" s="28"/>
      <c r="D35" s="28"/>
      <c r="K35" s="15"/>
      <c r="L35" s="15"/>
      <c r="M35" s="15"/>
      <c r="N35" s="15"/>
      <c r="O35" s="15"/>
      <c r="P35" s="15"/>
    </row>
    <row r="36" spans="1:37" s="1" customFormat="1" ht="14.4" thickBot="1">
      <c r="A36" s="28"/>
      <c r="B36" s="28"/>
      <c r="D36" s="28"/>
      <c r="K36" s="32">
        <f>SUM(K2:K34)</f>
        <v>137.15</v>
      </c>
      <c r="L36" s="32">
        <f>SUM(L2:L34)</f>
        <v>152.94</v>
      </c>
      <c r="M36" s="26">
        <f>SUM(M2:M34)</f>
        <v>-15.789999999999992</v>
      </c>
      <c r="N36" s="27">
        <f>SUM(N2:N34)</f>
        <v>-165021.28999999992</v>
      </c>
      <c r="O36" s="35">
        <f>SUM(O2:O34)</f>
        <v>7.28</v>
      </c>
      <c r="P36" s="35">
        <f>SUM(P2:P34)</f>
        <v>76083.28</v>
      </c>
      <c r="Q36" s="18"/>
    </row>
    <row r="37" spans="1:37" s="1" customFormat="1" ht="13.8">
      <c r="A37" s="28"/>
      <c r="B37" s="28"/>
      <c r="D37" s="28"/>
      <c r="K37" s="15"/>
      <c r="L37" s="15"/>
      <c r="M37" s="15"/>
      <c r="N37" s="15"/>
      <c r="O37" s="17"/>
      <c r="P37" s="15"/>
    </row>
    <row r="38" spans="1:37" s="1" customFormat="1" ht="13.8">
      <c r="A38" s="28"/>
      <c r="B38" s="28"/>
      <c r="D38" s="28"/>
      <c r="K38" s="15"/>
      <c r="L38" s="15"/>
      <c r="M38" s="15"/>
      <c r="N38" s="15"/>
      <c r="O38" s="15"/>
      <c r="P38" s="15"/>
    </row>
    <row r="39" spans="1:37" s="1" customFormat="1" ht="13.8">
      <c r="A39" s="28"/>
      <c r="B39" s="28"/>
      <c r="D39" s="28"/>
      <c r="K39" s="15"/>
      <c r="L39" s="15"/>
      <c r="M39" s="15"/>
      <c r="N39" s="15"/>
      <c r="O39" s="15"/>
      <c r="P39" s="15"/>
    </row>
    <row r="40" spans="1:37" ht="12.75" customHeight="1">
      <c r="B40" s="36" t="s">
        <v>63</v>
      </c>
    </row>
    <row r="41" spans="1:37" ht="12.75" customHeight="1">
      <c r="B41" s="39" t="s">
        <v>66</v>
      </c>
    </row>
  </sheetData>
  <autoFilter ref="A1:P34" xr:uid="{4C856882-22A8-4A3B-82B1-5FA9A32489E0}"/>
  <mergeCells count="42">
    <mergeCell ref="D2:D4"/>
    <mergeCell ref="E2:E4"/>
    <mergeCell ref="D5:D7"/>
    <mergeCell ref="F2:F4"/>
    <mergeCell ref="E5:E7"/>
    <mergeCell ref="F5:F7"/>
    <mergeCell ref="D8:D10"/>
    <mergeCell ref="E8:E10"/>
    <mergeCell ref="F32:F34"/>
    <mergeCell ref="F8:F10"/>
    <mergeCell ref="D11:D13"/>
    <mergeCell ref="E11:E13"/>
    <mergeCell ref="F11:F13"/>
    <mergeCell ref="D20:D22"/>
    <mergeCell ref="E20:E22"/>
    <mergeCell ref="F20:F22"/>
    <mergeCell ref="D23:D25"/>
    <mergeCell ref="E23:E25"/>
    <mergeCell ref="F23:F25"/>
    <mergeCell ref="D14:D16"/>
    <mergeCell ref="E14:E16"/>
    <mergeCell ref="F14:F16"/>
    <mergeCell ref="D17:D19"/>
    <mergeCell ref="E17:E19"/>
    <mergeCell ref="F17:F19"/>
    <mergeCell ref="E29:E31"/>
    <mergeCell ref="F29:F31"/>
    <mergeCell ref="E26:E28"/>
    <mergeCell ref="F26:F28"/>
    <mergeCell ref="D29:D31"/>
    <mergeCell ref="D32:D34"/>
    <mergeCell ref="E32:E34"/>
    <mergeCell ref="D26:D28"/>
    <mergeCell ref="B2:B34"/>
    <mergeCell ref="C2:C34"/>
    <mergeCell ref="K2:K34"/>
    <mergeCell ref="M2:M34"/>
    <mergeCell ref="N2:N34"/>
    <mergeCell ref="O2:O34"/>
    <mergeCell ref="P2:P34"/>
    <mergeCell ref="A2:A34"/>
    <mergeCell ref="L2:L34"/>
  </mergeCells>
  <phoneticPr fontId="1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Mobily billing actuals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Vasudevan, Vikram</dc:creator>
  <cp:keywords/>
  <dc:description/>
  <cp:lastModifiedBy>Puneet Kumar</cp:lastModifiedBy>
  <cp:revision/>
  <dcterms:created xsi:type="dcterms:W3CDTF">2022-06-23T12:31:11Z</dcterms:created>
  <dcterms:modified xsi:type="dcterms:W3CDTF">2026-09-01T12:58:52Z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Removed">
    <vt:lpwstr>False</vt:lpwstr>
  </property>
  <property fmtid="{D5CDD505-2E9C-101B-9397-08002B2CF9AE}" pid="3" name="MSIP_Label_a8c544ca-bb84-4280-906e-934547e1d30c_ActionId">
    <vt:lpwstr>b3e222a3-6017-43b6-a4bb-b96b0e32ec34</vt:lpwstr>
  </property>
  <property fmtid="{D5CDD505-2E9C-101B-9397-08002B2CF9AE}" pid="4" name="MSIP_Label_a8c544ca-bb84-4280-906e-934547e1d30c_Name">
    <vt:lpwstr>Internal - General Use</vt:lpwstr>
  </property>
  <property fmtid="{D5CDD505-2E9C-101B-9397-08002B2CF9AE}" pid="5" name="MSIP_Label_a8c544ca-bb84-4280-906e-934547e1d30c_SetDate">
    <vt:lpwstr>2026-05-11T02:22:33Z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Enabled">
    <vt:lpwstr>True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MSIP_Label_9c215d82-5bf5-4d07-af41-65de05a9c87a_Enabled">
    <vt:lpwstr>True</vt:lpwstr>
  </property>
  <property fmtid="{D5CDD505-2E9C-101B-9397-08002B2CF9AE}" pid="10" name="MSIP_Label_9c215d82-5bf5-4d07-af41-65de05a9c87a_SiteId">
    <vt:lpwstr>f66b6bd3-ebc2-4f54-8769-d22858de97c5</vt:lpwstr>
  </property>
  <property fmtid="{D5CDD505-2E9C-101B-9397-08002B2CF9AE}" pid="11" name="MSIP_Label_9c215d82-5bf5-4d07-af41-65de05a9c87a_SetDate">
    <vt:lpwstr>2025-10-29T10:27:17Z</vt:lpwstr>
  </property>
  <property fmtid="{D5CDD505-2E9C-101B-9397-08002B2CF9AE}" pid="12" name="MSIP_Label_9c215d82-5bf5-4d07-af41-65de05a9c87a_Name">
    <vt:lpwstr>Amber</vt:lpwstr>
  </property>
  <property fmtid="{D5CDD505-2E9C-101B-9397-08002B2CF9AE}" pid="13" name="MSIP_Label_9c215d82-5bf5-4d07-af41-65de05a9c87a_ActionId">
    <vt:lpwstr>ef1b0067-e74f-4696-b0eb-f6c6d9f7882a</vt:lpwstr>
  </property>
  <property fmtid="{D5CDD505-2E9C-101B-9397-08002B2CF9AE}" pid="14" name="MSIP_Label_9c215d82-5bf5-4d07-af41-65de05a9c87a_Extended_MSFT_Method">
    <vt:lpwstr>Standard</vt:lpwstr>
  </property>
  <property fmtid="{D5CDD505-2E9C-101B-9397-08002B2CF9AE}" pid="15" name="Sensitivity">
    <vt:lpwstr>Internal - General Use Amber</vt:lpwstr>
  </property>
</Properties>
</file>