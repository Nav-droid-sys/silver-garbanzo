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y billing actu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9BC2E6"/>
      </patternFill>
    </fill>
    <fill>
      <patternFill patternType="solid">
        <fgColor rgb="0000B050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 wrapText="1"/>
    </xf>
    <xf numFmtId="0" fontId="2" fillId="0" borderId="1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5" customWidth="1" min="4" max="4"/>
    <col width="14" customWidth="1" min="5" max="5"/>
    <col width="16" customWidth="1" min="6" max="6"/>
    <col width="16" customWidth="1" min="7" max="7"/>
    <col width="14" customWidth="1" min="8" max="8"/>
    <col width="18" customWidth="1" min="9" max="9"/>
    <col width="14" customWidth="1" min="10" max="10"/>
    <col width="20" customWidth="1" min="11" max="11"/>
  </cols>
  <sheetData>
    <row r="1" ht="40" customHeight="1">
      <c r="A1" s="1" t="inlineStr">
        <is>
          <t>SNO</t>
        </is>
      </c>
      <c r="B1" s="1" t="inlineStr">
        <is>
          <t>Resource</t>
        </is>
      </c>
      <c r="C1" s="1" t="inlineStr">
        <is>
          <t>Date onboarded</t>
        </is>
      </c>
      <c r="D1" s="1" t="inlineStr">
        <is>
          <t>Task ID</t>
        </is>
      </c>
      <c r="E1" s="1" t="inlineStr">
        <is>
          <t>Estimator Points</t>
        </is>
      </c>
      <c r="F1" s="1" t="inlineStr">
        <is>
          <t>Current Milestone</t>
        </is>
      </c>
      <c r="G1" s="1" t="inlineStr">
        <is>
          <t>Invoicing calendar</t>
        </is>
      </c>
      <c r="H1" s="1" t="inlineStr">
        <is>
          <t>Invoice</t>
        </is>
      </c>
      <c r="I1" s="1" t="inlineStr">
        <is>
          <t>Comments</t>
        </is>
      </c>
      <c r="J1" s="1" t="inlineStr">
        <is>
          <t>Invoice due</t>
        </is>
      </c>
      <c r="K1" s="1" t="inlineStr">
        <is>
          <t>Earned SP
(basis approved TS till Apr '26)</t>
        </is>
      </c>
    </row>
    <row r="2" ht="20" customHeight="1">
      <c r="A2" s="2" t="n">
        <v>1</v>
      </c>
      <c r="B2" s="3" t="inlineStr">
        <is>
          <t>Gohul Raj R</t>
        </is>
      </c>
      <c r="C2" s="2" t="inlineStr"/>
      <c r="D2" s="2" t="inlineStr">
        <is>
          <t>AE-14136</t>
        </is>
      </c>
      <c r="E2" s="4" t="n">
        <v>23</v>
      </c>
      <c r="F2" s="5" t="inlineStr">
        <is>
          <t>PAC</t>
        </is>
      </c>
      <c r="G2" s="4">
        <f>0.6*E2</f>
        <v/>
      </c>
      <c r="H2" s="6">
        <f>G2*10451</f>
        <v/>
      </c>
      <c r="I2" s="3" t="inlineStr">
        <is>
          <t>UAT</t>
        </is>
      </c>
      <c r="J2" s="2" t="inlineStr"/>
      <c r="K2" s="4">
        <f>SUM(G2:G55)</f>
        <v/>
      </c>
    </row>
    <row r="3" ht="20" customHeight="1">
      <c r="A3" s="8" t="n"/>
      <c r="B3" s="8" t="n"/>
      <c r="C3" s="8" t="n"/>
      <c r="D3" s="8" t="n"/>
      <c r="E3" s="8" t="n"/>
      <c r="F3" s="8" t="n"/>
      <c r="G3" s="4">
        <f>0.2*E2</f>
        <v/>
      </c>
      <c r="H3" s="6">
        <f>G3*10451</f>
        <v/>
      </c>
      <c r="I3" s="3" t="inlineStr">
        <is>
          <t>RFS</t>
        </is>
      </c>
      <c r="J3" s="2" t="inlineStr"/>
      <c r="K3" s="8" t="n"/>
    </row>
    <row r="4" ht="20" customHeight="1">
      <c r="A4" s="8" t="n"/>
      <c r="B4" s="8" t="n"/>
      <c r="C4" s="8" t="n"/>
      <c r="D4" s="9" t="n"/>
      <c r="E4" s="9" t="n"/>
      <c r="F4" s="9" t="n"/>
      <c r="G4" s="4">
        <f>0.2*E2</f>
        <v/>
      </c>
      <c r="H4" s="6">
        <f>G4*10451</f>
        <v/>
      </c>
      <c r="I4" s="3" t="inlineStr">
        <is>
          <t>PAC</t>
        </is>
      </c>
      <c r="J4" s="2" t="inlineStr"/>
      <c r="K4" s="8" t="n"/>
    </row>
    <row r="5" ht="20" customHeight="1">
      <c r="A5" s="8" t="n"/>
      <c r="B5" s="8" t="n"/>
      <c r="C5" s="8" t="n"/>
      <c r="D5" s="2" t="inlineStr">
        <is>
          <t>AE-14381</t>
        </is>
      </c>
      <c r="E5" s="4" t="n">
        <v>19</v>
      </c>
      <c r="F5" s="5" t="inlineStr">
        <is>
          <t>PAC</t>
        </is>
      </c>
      <c r="G5" s="4">
        <f>0.6*E5</f>
        <v/>
      </c>
      <c r="H5" s="6">
        <f>G5*10451</f>
        <v/>
      </c>
      <c r="I5" s="3" t="inlineStr">
        <is>
          <t>UAT</t>
        </is>
      </c>
      <c r="J5" s="2" t="inlineStr"/>
      <c r="K5" s="8" t="n"/>
    </row>
    <row r="6" ht="20" customHeight="1">
      <c r="A6" s="8" t="n"/>
      <c r="B6" s="8" t="n"/>
      <c r="C6" s="8" t="n"/>
      <c r="D6" s="8" t="n"/>
      <c r="E6" s="8" t="n"/>
      <c r="F6" s="8" t="n"/>
      <c r="G6" s="4">
        <f>0.2*E5</f>
        <v/>
      </c>
      <c r="H6" s="6">
        <f>G6*10451</f>
        <v/>
      </c>
      <c r="I6" s="3" t="inlineStr">
        <is>
          <t>RFS</t>
        </is>
      </c>
      <c r="J6" s="2" t="inlineStr"/>
      <c r="K6" s="8" t="n"/>
    </row>
    <row r="7" ht="20" customHeight="1">
      <c r="A7" s="8" t="n"/>
      <c r="B7" s="8" t="n"/>
      <c r="C7" s="8" t="n"/>
      <c r="D7" s="9" t="n"/>
      <c r="E7" s="9" t="n"/>
      <c r="F7" s="9" t="n"/>
      <c r="G7" s="4">
        <f>0.2*E5</f>
        <v/>
      </c>
      <c r="H7" s="6">
        <f>G7*10451</f>
        <v/>
      </c>
      <c r="I7" s="3" t="inlineStr">
        <is>
          <t>PAC</t>
        </is>
      </c>
      <c r="J7" s="2" t="inlineStr"/>
      <c r="K7" s="8" t="n"/>
    </row>
    <row r="8" ht="20" customHeight="1">
      <c r="A8" s="8" t="n"/>
      <c r="B8" s="8" t="n"/>
      <c r="C8" s="8" t="n"/>
      <c r="D8" s="2" t="inlineStr">
        <is>
          <t>AE-14533</t>
        </is>
      </c>
      <c r="E8" s="4" t="n">
        <v>21</v>
      </c>
      <c r="F8" s="5" t="inlineStr">
        <is>
          <t>PAC</t>
        </is>
      </c>
      <c r="G8" s="4">
        <f>0.6*E8</f>
        <v/>
      </c>
      <c r="H8" s="6">
        <f>G8*10451</f>
        <v/>
      </c>
      <c r="I8" s="3" t="inlineStr">
        <is>
          <t>UAT</t>
        </is>
      </c>
      <c r="J8" s="2" t="inlineStr"/>
      <c r="K8" s="8" t="n"/>
    </row>
    <row r="9" ht="20" customHeight="1">
      <c r="A9" s="8" t="n"/>
      <c r="B9" s="8" t="n"/>
      <c r="C9" s="8" t="n"/>
      <c r="D9" s="8" t="n"/>
      <c r="E9" s="8" t="n"/>
      <c r="F9" s="8" t="n"/>
      <c r="G9" s="4">
        <f>0.2*E8</f>
        <v/>
      </c>
      <c r="H9" s="6">
        <f>G9*10451</f>
        <v/>
      </c>
      <c r="I9" s="3" t="inlineStr">
        <is>
          <t>RFS</t>
        </is>
      </c>
      <c r="J9" s="2" t="inlineStr"/>
      <c r="K9" s="8" t="n"/>
    </row>
    <row r="10" ht="20" customHeight="1">
      <c r="A10" s="8" t="n"/>
      <c r="B10" s="8" t="n"/>
      <c r="C10" s="8" t="n"/>
      <c r="D10" s="9" t="n"/>
      <c r="E10" s="9" t="n"/>
      <c r="F10" s="9" t="n"/>
      <c r="G10" s="4">
        <f>0.2*E8</f>
        <v/>
      </c>
      <c r="H10" s="6">
        <f>G10*10451</f>
        <v/>
      </c>
      <c r="I10" s="3" t="inlineStr">
        <is>
          <t>PAC</t>
        </is>
      </c>
      <c r="J10" s="2" t="inlineStr"/>
      <c r="K10" s="8" t="n"/>
    </row>
    <row r="11" ht="20" customHeight="1">
      <c r="A11" s="8" t="n"/>
      <c r="B11" s="8" t="n"/>
      <c r="C11" s="8" t="n"/>
      <c r="D11" s="2" t="inlineStr">
        <is>
          <t>AE-14976</t>
        </is>
      </c>
      <c r="E11" s="4" t="n">
        <v>11.4</v>
      </c>
      <c r="F11" s="5" t="inlineStr">
        <is>
          <t>RFSIT</t>
        </is>
      </c>
      <c r="G11" s="4">
        <f>0.6*E11</f>
        <v/>
      </c>
      <c r="H11" s="6">
        <f>G11*10451</f>
        <v/>
      </c>
      <c r="I11" s="3" t="inlineStr">
        <is>
          <t>UAT</t>
        </is>
      </c>
      <c r="J11" s="2" t="inlineStr"/>
      <c r="K11" s="8" t="n"/>
    </row>
    <row r="12" ht="20" customHeight="1">
      <c r="A12" s="8" t="n"/>
      <c r="B12" s="8" t="n"/>
      <c r="C12" s="8" t="n"/>
      <c r="D12" s="8" t="n"/>
      <c r="E12" s="8" t="n"/>
      <c r="F12" s="8" t="n"/>
      <c r="G12" s="4">
        <f>0.2*E11</f>
        <v/>
      </c>
      <c r="H12" s="6">
        <f>G12*10451</f>
        <v/>
      </c>
      <c r="I12" s="3" t="inlineStr">
        <is>
          <t>RFS</t>
        </is>
      </c>
      <c r="J12" s="2" t="inlineStr"/>
      <c r="K12" s="8" t="n"/>
    </row>
    <row r="13" ht="20" customHeight="1">
      <c r="A13" s="8" t="n"/>
      <c r="B13" s="8" t="n"/>
      <c r="C13" s="8" t="n"/>
      <c r="D13" s="9" t="n"/>
      <c r="E13" s="9" t="n"/>
      <c r="F13" s="9" t="n"/>
      <c r="G13" s="4">
        <f>0.2*E11</f>
        <v/>
      </c>
      <c r="H13" s="6">
        <f>G13*10451</f>
        <v/>
      </c>
      <c r="I13" s="3" t="inlineStr">
        <is>
          <t>PAC</t>
        </is>
      </c>
      <c r="J13" s="2" t="inlineStr"/>
      <c r="K13" s="8" t="n"/>
    </row>
    <row r="14" ht="20" customHeight="1">
      <c r="A14" s="8" t="n"/>
      <c r="B14" s="8" t="n"/>
      <c r="C14" s="8" t="n"/>
      <c r="D14" s="2" t="inlineStr">
        <is>
          <t>AE-14798</t>
        </is>
      </c>
      <c r="E14" s="4" t="n">
        <v>11.4</v>
      </c>
      <c r="F14" s="5" t="inlineStr">
        <is>
          <t>RFSIT</t>
        </is>
      </c>
      <c r="G14" s="4">
        <f>0.6*E14</f>
        <v/>
      </c>
      <c r="H14" s="6">
        <f>G14*10451</f>
        <v/>
      </c>
      <c r="I14" s="3" t="inlineStr">
        <is>
          <t>UAT</t>
        </is>
      </c>
      <c r="J14" s="2" t="inlineStr"/>
      <c r="K14" s="8" t="n"/>
    </row>
    <row r="15" ht="20" customHeight="1">
      <c r="A15" s="8" t="n"/>
      <c r="B15" s="8" t="n"/>
      <c r="C15" s="8" t="n"/>
      <c r="D15" s="8" t="n"/>
      <c r="E15" s="8" t="n"/>
      <c r="F15" s="8" t="n"/>
      <c r="G15" s="4">
        <f>0.2*E14</f>
        <v/>
      </c>
      <c r="H15" s="6">
        <f>G15*10451</f>
        <v/>
      </c>
      <c r="I15" s="3" t="inlineStr">
        <is>
          <t>RFS</t>
        </is>
      </c>
      <c r="J15" s="2" t="inlineStr"/>
      <c r="K15" s="8" t="n"/>
    </row>
    <row r="16" ht="20" customHeight="1">
      <c r="A16" s="8" t="n"/>
      <c r="B16" s="8" t="n"/>
      <c r="C16" s="8" t="n"/>
      <c r="D16" s="9" t="n"/>
      <c r="E16" s="9" t="n"/>
      <c r="F16" s="9" t="n"/>
      <c r="G16" s="4">
        <f>0.2*E14</f>
        <v/>
      </c>
      <c r="H16" s="6">
        <f>G16*10451</f>
        <v/>
      </c>
      <c r="I16" s="3" t="inlineStr">
        <is>
          <t>PAC</t>
        </is>
      </c>
      <c r="J16" s="2" t="inlineStr"/>
      <c r="K16" s="8" t="n"/>
    </row>
    <row r="17" ht="20" customHeight="1">
      <c r="A17" s="8" t="n"/>
      <c r="B17" s="8" t="n"/>
      <c r="C17" s="8" t="n"/>
      <c r="D17" s="2" t="inlineStr">
        <is>
          <t>AE-15197</t>
        </is>
      </c>
      <c r="E17" s="4" t="n">
        <v>12</v>
      </c>
      <c r="F17" s="5" t="inlineStr">
        <is>
          <t>RFSIT</t>
        </is>
      </c>
      <c r="G17" s="4">
        <f>0.6*E17</f>
        <v/>
      </c>
      <c r="H17" s="6">
        <f>G17*10451</f>
        <v/>
      </c>
      <c r="I17" s="3" t="inlineStr">
        <is>
          <t>UAT</t>
        </is>
      </c>
      <c r="J17" s="2" t="inlineStr"/>
      <c r="K17" s="8" t="n"/>
    </row>
    <row r="18" ht="20" customHeight="1">
      <c r="A18" s="8" t="n"/>
      <c r="B18" s="8" t="n"/>
      <c r="C18" s="8" t="n"/>
      <c r="D18" s="8" t="n"/>
      <c r="E18" s="8" t="n"/>
      <c r="F18" s="8" t="n"/>
      <c r="G18" s="4">
        <f>0.2*E17</f>
        <v/>
      </c>
      <c r="H18" s="6">
        <f>G18*10451</f>
        <v/>
      </c>
      <c r="I18" s="3" t="inlineStr">
        <is>
          <t>RFS</t>
        </is>
      </c>
      <c r="J18" s="2" t="inlineStr"/>
      <c r="K18" s="8" t="n"/>
    </row>
    <row r="19" ht="20" customHeight="1">
      <c r="A19" s="8" t="n"/>
      <c r="B19" s="8" t="n"/>
      <c r="C19" s="8" t="n"/>
      <c r="D19" s="9" t="n"/>
      <c r="E19" s="9" t="n"/>
      <c r="F19" s="9" t="n"/>
      <c r="G19" s="4">
        <f>0.2*E17</f>
        <v/>
      </c>
      <c r="H19" s="6">
        <f>G19*10451</f>
        <v/>
      </c>
      <c r="I19" s="3" t="inlineStr">
        <is>
          <t>PAC</t>
        </is>
      </c>
      <c r="J19" s="2" t="inlineStr"/>
      <c r="K19" s="8" t="n"/>
    </row>
    <row r="20" ht="20" customHeight="1">
      <c r="A20" s="8" t="n"/>
      <c r="B20" s="8" t="n"/>
      <c r="C20" s="8" t="n"/>
      <c r="D20" s="2" t="inlineStr">
        <is>
          <t>AE-15381</t>
        </is>
      </c>
      <c r="E20" s="4" t="n">
        <v>13.2</v>
      </c>
      <c r="F20" s="5" t="inlineStr">
        <is>
          <t>RFSIT</t>
        </is>
      </c>
      <c r="G20" s="4">
        <f>0.6*E20</f>
        <v/>
      </c>
      <c r="H20" s="6">
        <f>G20*10451</f>
        <v/>
      </c>
      <c r="I20" s="3" t="inlineStr">
        <is>
          <t>UAT</t>
        </is>
      </c>
      <c r="J20" s="2" t="inlineStr"/>
      <c r="K20" s="8" t="n"/>
    </row>
    <row r="21" ht="20" customHeight="1">
      <c r="A21" s="8" t="n"/>
      <c r="B21" s="8" t="n"/>
      <c r="C21" s="8" t="n"/>
      <c r="D21" s="8" t="n"/>
      <c r="E21" s="8" t="n"/>
      <c r="F21" s="8" t="n"/>
      <c r="G21" s="4">
        <f>0.2*E20</f>
        <v/>
      </c>
      <c r="H21" s="6">
        <f>G21*10451</f>
        <v/>
      </c>
      <c r="I21" s="3" t="inlineStr">
        <is>
          <t>RFS</t>
        </is>
      </c>
      <c r="J21" s="2" t="inlineStr"/>
      <c r="K21" s="8" t="n"/>
    </row>
    <row r="22" ht="20" customHeight="1">
      <c r="A22" s="8" t="n"/>
      <c r="B22" s="8" t="n"/>
      <c r="C22" s="8" t="n"/>
      <c r="D22" s="9" t="n"/>
      <c r="E22" s="9" t="n"/>
      <c r="F22" s="9" t="n"/>
      <c r="G22" s="4">
        <f>0.2*E20</f>
        <v/>
      </c>
      <c r="H22" s="6">
        <f>G22*10451</f>
        <v/>
      </c>
      <c r="I22" s="3" t="inlineStr">
        <is>
          <t>PAC</t>
        </is>
      </c>
      <c r="J22" s="2" t="inlineStr"/>
      <c r="K22" s="8" t="n"/>
    </row>
    <row r="23" ht="20" customHeight="1">
      <c r="A23" s="8" t="n"/>
      <c r="B23" s="8" t="n"/>
      <c r="C23" s="8" t="n"/>
      <c r="D23" s="2" t="inlineStr">
        <is>
          <t>AE-15558</t>
        </is>
      </c>
      <c r="E23" s="4" t="n">
        <v>14.4</v>
      </c>
      <c r="F23" s="5" t="inlineStr">
        <is>
          <t>RFS</t>
        </is>
      </c>
      <c r="G23" s="4">
        <f>0.6*E23</f>
        <v/>
      </c>
      <c r="H23" s="6">
        <f>G23*10451</f>
        <v/>
      </c>
      <c r="I23" s="3" t="inlineStr">
        <is>
          <t>UAT</t>
        </is>
      </c>
      <c r="J23" s="2" t="inlineStr"/>
      <c r="K23" s="8" t="n"/>
    </row>
    <row r="24" ht="20" customHeight="1">
      <c r="A24" s="8" t="n"/>
      <c r="B24" s="8" t="n"/>
      <c r="C24" s="8" t="n"/>
      <c r="D24" s="8" t="n"/>
      <c r="E24" s="8" t="n"/>
      <c r="F24" s="8" t="n"/>
      <c r="G24" s="4">
        <f>0.2*E23</f>
        <v/>
      </c>
      <c r="H24" s="6">
        <f>G24*10451</f>
        <v/>
      </c>
      <c r="I24" s="3" t="inlineStr">
        <is>
          <t>RFS</t>
        </is>
      </c>
      <c r="J24" s="2" t="inlineStr"/>
      <c r="K24" s="8" t="n"/>
    </row>
    <row r="25" ht="20" customHeight="1">
      <c r="A25" s="8" t="n"/>
      <c r="B25" s="8" t="n"/>
      <c r="C25" s="8" t="n"/>
      <c r="D25" s="9" t="n"/>
      <c r="E25" s="9" t="n"/>
      <c r="F25" s="9" t="n"/>
      <c r="G25" s="4">
        <f>0.2*E23</f>
        <v/>
      </c>
      <c r="H25" s="6">
        <f>G25*10451</f>
        <v/>
      </c>
      <c r="I25" s="3" t="inlineStr">
        <is>
          <t>PAC</t>
        </is>
      </c>
      <c r="J25" s="2" t="inlineStr"/>
      <c r="K25" s="8" t="n"/>
    </row>
    <row r="26" ht="20" customHeight="1">
      <c r="A26" s="8" t="n"/>
      <c r="B26" s="8" t="n"/>
      <c r="C26" s="8" t="n"/>
      <c r="D26" s="2" t="inlineStr">
        <is>
          <t>AE-15798</t>
        </is>
      </c>
      <c r="E26" s="4" t="n">
        <v>12</v>
      </c>
      <c r="F26" s="5" t="inlineStr">
        <is>
          <t>RFSIT</t>
        </is>
      </c>
      <c r="G26" s="4">
        <f>0.6*E26</f>
        <v/>
      </c>
      <c r="H26" s="6">
        <f>G26*10451</f>
        <v/>
      </c>
      <c r="I26" s="3" t="inlineStr">
        <is>
          <t>UAT</t>
        </is>
      </c>
      <c r="J26" s="2" t="inlineStr"/>
      <c r="K26" s="8" t="n"/>
    </row>
    <row r="27" ht="20" customHeight="1">
      <c r="A27" s="8" t="n"/>
      <c r="B27" s="8" t="n"/>
      <c r="C27" s="8" t="n"/>
      <c r="D27" s="8" t="n"/>
      <c r="E27" s="8" t="n"/>
      <c r="F27" s="8" t="n"/>
      <c r="G27" s="4">
        <f>0.2*E26</f>
        <v/>
      </c>
      <c r="H27" s="6">
        <f>G27*10451</f>
        <v/>
      </c>
      <c r="I27" s="3" t="inlineStr">
        <is>
          <t>RFS</t>
        </is>
      </c>
      <c r="J27" s="2" t="inlineStr"/>
      <c r="K27" s="8" t="n"/>
    </row>
    <row r="28" ht="20" customHeight="1">
      <c r="A28" s="8" t="n"/>
      <c r="B28" s="8" t="n"/>
      <c r="C28" s="8" t="n"/>
      <c r="D28" s="9" t="n"/>
      <c r="E28" s="9" t="n"/>
      <c r="F28" s="9" t="n"/>
      <c r="G28" s="4">
        <f>0.2*E26</f>
        <v/>
      </c>
      <c r="H28" s="6">
        <f>G28*10451</f>
        <v/>
      </c>
      <c r="I28" s="3" t="inlineStr">
        <is>
          <t>PAC</t>
        </is>
      </c>
      <c r="J28" s="2" t="inlineStr"/>
      <c r="K28" s="8" t="n"/>
    </row>
    <row r="29" ht="20" customHeight="1">
      <c r="A29" s="8" t="n"/>
      <c r="B29" s="8" t="n"/>
      <c r="C29" s="8" t="n"/>
      <c r="D29" s="2" t="inlineStr">
        <is>
          <t>AE-15988</t>
        </is>
      </c>
      <c r="E29" s="4" t="n">
        <v>11.4</v>
      </c>
      <c r="F29" s="5" t="inlineStr">
        <is>
          <t>RFSIT</t>
        </is>
      </c>
      <c r="G29" s="4">
        <f>0.6*E29</f>
        <v/>
      </c>
      <c r="H29" s="6">
        <f>G29*10451</f>
        <v/>
      </c>
      <c r="I29" s="3" t="inlineStr">
        <is>
          <t>UAT</t>
        </is>
      </c>
      <c r="J29" s="2" t="inlineStr"/>
      <c r="K29" s="8" t="n"/>
    </row>
    <row r="30" ht="20" customHeight="1">
      <c r="A30" s="8" t="n"/>
      <c r="B30" s="8" t="n"/>
      <c r="C30" s="8" t="n"/>
      <c r="D30" s="8" t="n"/>
      <c r="E30" s="8" t="n"/>
      <c r="F30" s="8" t="n"/>
      <c r="G30" s="4">
        <f>0.2*E29</f>
        <v/>
      </c>
      <c r="H30" s="6">
        <f>G30*10451</f>
        <v/>
      </c>
      <c r="I30" s="3" t="inlineStr">
        <is>
          <t>RFS</t>
        </is>
      </c>
      <c r="J30" s="2" t="inlineStr"/>
      <c r="K30" s="8" t="n"/>
    </row>
    <row r="31" ht="20" customHeight="1">
      <c r="A31" s="8" t="n"/>
      <c r="B31" s="8" t="n"/>
      <c r="C31" s="8" t="n"/>
      <c r="D31" s="9" t="n"/>
      <c r="E31" s="9" t="n"/>
      <c r="F31" s="9" t="n"/>
      <c r="G31" s="4">
        <f>0.2*E29</f>
        <v/>
      </c>
      <c r="H31" s="6">
        <f>G31*10451</f>
        <v/>
      </c>
      <c r="I31" s="3" t="inlineStr">
        <is>
          <t>PAC</t>
        </is>
      </c>
      <c r="J31" s="2" t="inlineStr"/>
      <c r="K31" s="8" t="n"/>
    </row>
    <row r="32" ht="20" customHeight="1">
      <c r="A32" s="8" t="n"/>
      <c r="B32" s="8" t="n"/>
      <c r="C32" s="8" t="n"/>
      <c r="D32" s="2" t="inlineStr">
        <is>
          <t>AE-16159</t>
        </is>
      </c>
      <c r="E32" s="4" t="n">
        <v>12</v>
      </c>
      <c r="F32" s="5" t="inlineStr">
        <is>
          <t>RFSIT</t>
        </is>
      </c>
      <c r="G32" s="4">
        <f>0.6*E32</f>
        <v/>
      </c>
      <c r="H32" s="6">
        <f>G32*10451</f>
        <v/>
      </c>
      <c r="I32" s="3" t="inlineStr">
        <is>
          <t>UAT</t>
        </is>
      </c>
      <c r="J32" s="2" t="inlineStr"/>
      <c r="K32" s="8" t="n"/>
    </row>
    <row r="33" ht="20" customHeight="1">
      <c r="A33" s="8" t="n"/>
      <c r="B33" s="8" t="n"/>
      <c r="C33" s="8" t="n"/>
      <c r="D33" s="8" t="n"/>
      <c r="E33" s="8" t="n"/>
      <c r="F33" s="8" t="n"/>
      <c r="G33" s="4">
        <f>0.2*E32</f>
        <v/>
      </c>
      <c r="H33" s="6">
        <f>G33*10451</f>
        <v/>
      </c>
      <c r="I33" s="3" t="inlineStr">
        <is>
          <t>RFS</t>
        </is>
      </c>
      <c r="J33" s="2" t="inlineStr"/>
      <c r="K33" s="8" t="n"/>
    </row>
    <row r="34" ht="20" customHeight="1">
      <c r="A34" s="8" t="n"/>
      <c r="B34" s="8" t="n"/>
      <c r="C34" s="8" t="n"/>
      <c r="D34" s="9" t="n"/>
      <c r="E34" s="9" t="n"/>
      <c r="F34" s="9" t="n"/>
      <c r="G34" s="4">
        <f>0.2*E32</f>
        <v/>
      </c>
      <c r="H34" s="6">
        <f>G34*10451</f>
        <v/>
      </c>
      <c r="I34" s="3" t="inlineStr">
        <is>
          <t>PAC</t>
        </is>
      </c>
      <c r="J34" s="2" t="inlineStr"/>
      <c r="K34" s="8" t="n"/>
    </row>
    <row r="35" ht="20" customHeight="1">
      <c r="A35" s="8" t="n"/>
      <c r="B35" s="8" t="n"/>
      <c r="C35" s="8" t="n"/>
      <c r="D35" s="2" t="inlineStr">
        <is>
          <t>AE-16281</t>
        </is>
      </c>
      <c r="E35" s="4" t="n">
        <v>13.2</v>
      </c>
      <c r="F35" s="5" t="inlineStr">
        <is>
          <t>RFSIT</t>
        </is>
      </c>
      <c r="G35" s="4">
        <f>0.6*E35</f>
        <v/>
      </c>
      <c r="H35" s="6">
        <f>G35*10451</f>
        <v/>
      </c>
      <c r="I35" s="3" t="inlineStr">
        <is>
          <t>UAT</t>
        </is>
      </c>
      <c r="J35" s="2" t="inlineStr"/>
      <c r="K35" s="8" t="n"/>
    </row>
    <row r="36" ht="20" customHeight="1">
      <c r="A36" s="8" t="n"/>
      <c r="B36" s="8" t="n"/>
      <c r="C36" s="8" t="n"/>
      <c r="D36" s="8" t="n"/>
      <c r="E36" s="8" t="n"/>
      <c r="F36" s="8" t="n"/>
      <c r="G36" s="4">
        <f>0.2*E35</f>
        <v/>
      </c>
      <c r="H36" s="6">
        <f>G36*10451</f>
        <v/>
      </c>
      <c r="I36" s="3" t="inlineStr">
        <is>
          <t>RFS</t>
        </is>
      </c>
      <c r="J36" s="2" t="inlineStr"/>
      <c r="K36" s="8" t="n"/>
    </row>
    <row r="37" ht="20" customHeight="1">
      <c r="A37" s="8" t="n"/>
      <c r="B37" s="8" t="n"/>
      <c r="C37" s="8" t="n"/>
      <c r="D37" s="9" t="n"/>
      <c r="E37" s="9" t="n"/>
      <c r="F37" s="9" t="n"/>
      <c r="G37" s="4">
        <f>0.2*E35</f>
        <v/>
      </c>
      <c r="H37" s="6">
        <f>G37*10451</f>
        <v/>
      </c>
      <c r="I37" s="3" t="inlineStr">
        <is>
          <t>PAC</t>
        </is>
      </c>
      <c r="J37" s="2" t="inlineStr"/>
      <c r="K37" s="8" t="n"/>
    </row>
    <row r="38" ht="20" customHeight="1">
      <c r="A38" s="8" t="n"/>
      <c r="B38" s="8" t="n"/>
      <c r="C38" s="8" t="n"/>
      <c r="D38" s="2" t="inlineStr">
        <is>
          <t>AE-16562</t>
        </is>
      </c>
      <c r="E38" s="4" t="n">
        <v>9.6</v>
      </c>
      <c r="F38" s="5" t="inlineStr">
        <is>
          <t>RFSIT</t>
        </is>
      </c>
      <c r="G38" s="4">
        <f>0.6*E38</f>
        <v/>
      </c>
      <c r="H38" s="6">
        <f>G38*10451</f>
        <v/>
      </c>
      <c r="I38" s="3" t="inlineStr">
        <is>
          <t>UAT</t>
        </is>
      </c>
      <c r="J38" s="2" t="inlineStr"/>
      <c r="K38" s="8" t="n"/>
    </row>
    <row r="39" ht="20" customHeight="1">
      <c r="A39" s="8" t="n"/>
      <c r="B39" s="8" t="n"/>
      <c r="C39" s="8" t="n"/>
      <c r="D39" s="8" t="n"/>
      <c r="E39" s="8" t="n"/>
      <c r="F39" s="8" t="n"/>
      <c r="G39" s="4">
        <f>0.2*E38</f>
        <v/>
      </c>
      <c r="H39" s="6">
        <f>G39*10451</f>
        <v/>
      </c>
      <c r="I39" s="3" t="inlineStr">
        <is>
          <t>RFS</t>
        </is>
      </c>
      <c r="J39" s="2" t="inlineStr"/>
      <c r="K39" s="8" t="n"/>
    </row>
    <row r="40" ht="20" customHeight="1">
      <c r="A40" s="8" t="n"/>
      <c r="B40" s="8" t="n"/>
      <c r="C40" s="8" t="n"/>
      <c r="D40" s="9" t="n"/>
      <c r="E40" s="9" t="n"/>
      <c r="F40" s="9" t="n"/>
      <c r="G40" s="4">
        <f>0.2*E38</f>
        <v/>
      </c>
      <c r="H40" s="6">
        <f>G40*10451</f>
        <v/>
      </c>
      <c r="I40" s="3" t="inlineStr">
        <is>
          <t>PAC</t>
        </is>
      </c>
      <c r="J40" s="2" t="inlineStr"/>
      <c r="K40" s="8" t="n"/>
    </row>
    <row r="41" ht="20" customHeight="1">
      <c r="A41" s="8" t="n"/>
      <c r="B41" s="8" t="n"/>
      <c r="C41" s="8" t="n"/>
      <c r="D41" s="2" t="inlineStr">
        <is>
          <t>AE-16703</t>
        </is>
      </c>
      <c r="E41" s="4" t="n">
        <v>11.4</v>
      </c>
      <c r="F41" s="5" t="inlineStr">
        <is>
          <t>RFSIT</t>
        </is>
      </c>
      <c r="G41" s="4">
        <f>0.6*E41</f>
        <v/>
      </c>
      <c r="H41" s="6">
        <f>G41*10451</f>
        <v/>
      </c>
      <c r="I41" s="3" t="inlineStr">
        <is>
          <t>UAT</t>
        </is>
      </c>
      <c r="J41" s="2" t="inlineStr"/>
      <c r="K41" s="8" t="n"/>
    </row>
    <row r="42" ht="20" customHeight="1">
      <c r="A42" s="8" t="n"/>
      <c r="B42" s="8" t="n"/>
      <c r="C42" s="8" t="n"/>
      <c r="D42" s="8" t="n"/>
      <c r="E42" s="8" t="n"/>
      <c r="F42" s="8" t="n"/>
      <c r="G42" s="4">
        <f>0.2*E41</f>
        <v/>
      </c>
      <c r="H42" s="6">
        <f>G42*10451</f>
        <v/>
      </c>
      <c r="I42" s="3" t="inlineStr">
        <is>
          <t>RFS</t>
        </is>
      </c>
      <c r="J42" s="2" t="inlineStr"/>
      <c r="K42" s="8" t="n"/>
    </row>
    <row r="43" ht="20" customHeight="1">
      <c r="A43" s="8" t="n"/>
      <c r="B43" s="8" t="n"/>
      <c r="C43" s="8" t="n"/>
      <c r="D43" s="9" t="n"/>
      <c r="E43" s="9" t="n"/>
      <c r="F43" s="9" t="n"/>
      <c r="G43" s="4">
        <f>0.2*E41</f>
        <v/>
      </c>
      <c r="H43" s="6">
        <f>G43*10451</f>
        <v/>
      </c>
      <c r="I43" s="3" t="inlineStr">
        <is>
          <t>PAC</t>
        </is>
      </c>
      <c r="J43" s="2" t="inlineStr"/>
      <c r="K43" s="8" t="n"/>
    </row>
    <row r="44" ht="20" customHeight="1">
      <c r="A44" s="8" t="n"/>
      <c r="B44" s="8" t="n"/>
      <c r="C44" s="8" t="n"/>
      <c r="D44" s="2" t="inlineStr">
        <is>
          <t>AE-16815</t>
        </is>
      </c>
      <c r="E44" s="4" t="n">
        <v>11.4</v>
      </c>
      <c r="F44" s="5" t="inlineStr">
        <is>
          <t>RFSIT</t>
        </is>
      </c>
      <c r="G44" s="4">
        <f>0.6*E44</f>
        <v/>
      </c>
      <c r="H44" s="6">
        <f>G44*10451</f>
        <v/>
      </c>
      <c r="I44" s="3" t="inlineStr">
        <is>
          <t>UAT</t>
        </is>
      </c>
      <c r="J44" s="2" t="inlineStr"/>
      <c r="K44" s="8" t="n"/>
    </row>
    <row r="45" ht="20" customHeight="1">
      <c r="A45" s="8" t="n"/>
      <c r="B45" s="8" t="n"/>
      <c r="C45" s="8" t="n"/>
      <c r="D45" s="8" t="n"/>
      <c r="E45" s="8" t="n"/>
      <c r="F45" s="8" t="n"/>
      <c r="G45" s="4">
        <f>0.2*E44</f>
        <v/>
      </c>
      <c r="H45" s="6">
        <f>G45*10451</f>
        <v/>
      </c>
      <c r="I45" s="3" t="inlineStr">
        <is>
          <t>RFS</t>
        </is>
      </c>
      <c r="J45" s="2" t="inlineStr"/>
      <c r="K45" s="8" t="n"/>
    </row>
    <row r="46" ht="20" customHeight="1">
      <c r="A46" s="8" t="n"/>
      <c r="B46" s="8" t="n"/>
      <c r="C46" s="8" t="n"/>
      <c r="D46" s="9" t="n"/>
      <c r="E46" s="9" t="n"/>
      <c r="F46" s="9" t="n"/>
      <c r="G46" s="4">
        <f>0.2*E44</f>
        <v/>
      </c>
      <c r="H46" s="6">
        <f>G46*10451</f>
        <v/>
      </c>
      <c r="I46" s="3" t="inlineStr">
        <is>
          <t>PAC</t>
        </is>
      </c>
      <c r="J46" s="2" t="inlineStr"/>
      <c r="K46" s="8" t="n"/>
    </row>
    <row r="47" ht="20" customHeight="1">
      <c r="A47" s="8" t="n"/>
      <c r="B47" s="8" t="n"/>
      <c r="C47" s="8" t="n"/>
      <c r="D47" s="2" t="inlineStr">
        <is>
          <t>AE-16966</t>
        </is>
      </c>
      <c r="E47" s="4" t="n">
        <v>13.2</v>
      </c>
      <c r="F47" s="5" t="inlineStr">
        <is>
          <t>RFSIT</t>
        </is>
      </c>
      <c r="G47" s="4">
        <f>0.6*E47</f>
        <v/>
      </c>
      <c r="H47" s="6">
        <f>G47*10451</f>
        <v/>
      </c>
      <c r="I47" s="3" t="inlineStr">
        <is>
          <t>UAT</t>
        </is>
      </c>
      <c r="J47" s="2" t="inlineStr"/>
      <c r="K47" s="8" t="n"/>
    </row>
    <row r="48" ht="20" customHeight="1">
      <c r="A48" s="8" t="n"/>
      <c r="B48" s="8" t="n"/>
      <c r="C48" s="8" t="n"/>
      <c r="D48" s="8" t="n"/>
      <c r="E48" s="8" t="n"/>
      <c r="F48" s="8" t="n"/>
      <c r="G48" s="4">
        <f>0.2*E47</f>
        <v/>
      </c>
      <c r="H48" s="6">
        <f>G48*10451</f>
        <v/>
      </c>
      <c r="I48" s="3" t="inlineStr">
        <is>
          <t>RFS</t>
        </is>
      </c>
      <c r="J48" s="2" t="inlineStr"/>
      <c r="K48" s="8" t="n"/>
    </row>
    <row r="49" ht="20" customHeight="1">
      <c r="A49" s="8" t="n"/>
      <c r="B49" s="8" t="n"/>
      <c r="C49" s="8" t="n"/>
      <c r="D49" s="9" t="n"/>
      <c r="E49" s="9" t="n"/>
      <c r="F49" s="9" t="n"/>
      <c r="G49" s="4">
        <f>0.2*E47</f>
        <v/>
      </c>
      <c r="H49" s="6">
        <f>G49*10451</f>
        <v/>
      </c>
      <c r="I49" s="3" t="inlineStr">
        <is>
          <t>PAC</t>
        </is>
      </c>
      <c r="J49" s="2" t="inlineStr"/>
      <c r="K49" s="8" t="n"/>
    </row>
    <row r="50" ht="20" customHeight="1">
      <c r="A50" s="8" t="n"/>
      <c r="B50" s="8" t="n"/>
      <c r="C50" s="8" t="n"/>
      <c r="D50" s="2" t="inlineStr">
        <is>
          <t>AE-17142</t>
        </is>
      </c>
      <c r="E50" s="4" t="n">
        <v>11.4</v>
      </c>
      <c r="F50" s="5" t="inlineStr">
        <is>
          <t>RFSIT</t>
        </is>
      </c>
      <c r="G50" s="4">
        <f>0.6*E50</f>
        <v/>
      </c>
      <c r="H50" s="6">
        <f>G50*10451</f>
        <v/>
      </c>
      <c r="I50" s="3" t="inlineStr">
        <is>
          <t>UAT</t>
        </is>
      </c>
      <c r="J50" s="2" t="inlineStr"/>
      <c r="K50" s="8" t="n"/>
    </row>
    <row r="51" ht="20" customHeight="1">
      <c r="A51" s="8" t="n"/>
      <c r="B51" s="8" t="n"/>
      <c r="C51" s="8" t="n"/>
      <c r="D51" s="8" t="n"/>
      <c r="E51" s="8" t="n"/>
      <c r="F51" s="8" t="n"/>
      <c r="G51" s="4">
        <f>0.2*E50</f>
        <v/>
      </c>
      <c r="H51" s="6">
        <f>G51*10451</f>
        <v/>
      </c>
      <c r="I51" s="3" t="inlineStr">
        <is>
          <t>RFS</t>
        </is>
      </c>
      <c r="J51" s="2" t="inlineStr"/>
      <c r="K51" s="8" t="n"/>
    </row>
    <row r="52" ht="20" customHeight="1">
      <c r="A52" s="8" t="n"/>
      <c r="B52" s="8" t="n"/>
      <c r="C52" s="8" t="n"/>
      <c r="D52" s="9" t="n"/>
      <c r="E52" s="9" t="n"/>
      <c r="F52" s="9" t="n"/>
      <c r="G52" s="4">
        <f>0.2*E50</f>
        <v/>
      </c>
      <c r="H52" s="6">
        <f>G52*10451</f>
        <v/>
      </c>
      <c r="I52" s="3" t="inlineStr">
        <is>
          <t>PAC</t>
        </is>
      </c>
      <c r="J52" s="2" t="inlineStr"/>
      <c r="K52" s="8" t="n"/>
    </row>
    <row r="53" ht="20" customHeight="1">
      <c r="A53" s="8" t="n"/>
      <c r="B53" s="8" t="n"/>
      <c r="C53" s="8" t="n"/>
      <c r="D53" s="2" t="inlineStr">
        <is>
          <t>AE-17239</t>
        </is>
      </c>
      <c r="E53" s="4" t="n">
        <v>12.6</v>
      </c>
      <c r="F53" s="5" t="inlineStr">
        <is>
          <t>RFSIT</t>
        </is>
      </c>
      <c r="G53" s="4">
        <f>0.6*E53</f>
        <v/>
      </c>
      <c r="H53" s="6">
        <f>G53*10451</f>
        <v/>
      </c>
      <c r="I53" s="3" t="inlineStr">
        <is>
          <t>UAT</t>
        </is>
      </c>
      <c r="J53" s="2" t="inlineStr"/>
      <c r="K53" s="8" t="n"/>
    </row>
    <row r="54" ht="20" customHeight="1">
      <c r="A54" s="8" t="n"/>
      <c r="B54" s="8" t="n"/>
      <c r="C54" s="8" t="n"/>
      <c r="D54" s="8" t="n"/>
      <c r="E54" s="8" t="n"/>
      <c r="F54" s="8" t="n"/>
      <c r="G54" s="4">
        <f>0.2*E53</f>
        <v/>
      </c>
      <c r="H54" s="6">
        <f>G54*10451</f>
        <v/>
      </c>
      <c r="I54" s="3" t="inlineStr">
        <is>
          <t>RFS</t>
        </is>
      </c>
      <c r="J54" s="2" t="inlineStr"/>
      <c r="K54" s="8" t="n"/>
    </row>
    <row r="55" ht="20" customHeight="1">
      <c r="A55" s="9" t="n"/>
      <c r="B55" s="9" t="n"/>
      <c r="C55" s="9" t="n"/>
      <c r="D55" s="9" t="n"/>
      <c r="E55" s="9" t="n"/>
      <c r="F55" s="9" t="n"/>
      <c r="G55" s="4">
        <f>0.2*E53</f>
        <v/>
      </c>
      <c r="H55" s="6">
        <f>G55*10451</f>
        <v/>
      </c>
      <c r="I55" s="3" t="inlineStr">
        <is>
          <t>PAC</t>
        </is>
      </c>
      <c r="J55" s="2" t="inlineStr"/>
      <c r="K55" s="9" t="n"/>
    </row>
    <row r="56" ht="20" customHeight="1">
      <c r="A56" s="2" t="n">
        <v>2</v>
      </c>
      <c r="B56" s="3" t="inlineStr">
        <is>
          <t>Uma SV</t>
        </is>
      </c>
      <c r="C56" s="2" t="inlineStr"/>
      <c r="D56" s="2" t="inlineStr">
        <is>
          <t>AE-14123</t>
        </is>
      </c>
      <c r="E56" s="4" t="n">
        <v>20</v>
      </c>
      <c r="F56" s="5" t="inlineStr">
        <is>
          <t>PAC</t>
        </is>
      </c>
      <c r="G56" s="4">
        <f>0.6*E56</f>
        <v/>
      </c>
      <c r="H56" s="6">
        <f>G56*10451</f>
        <v/>
      </c>
      <c r="I56" s="3" t="inlineStr">
        <is>
          <t>UAT</t>
        </is>
      </c>
      <c r="J56" s="2" t="inlineStr"/>
      <c r="K56" s="4">
        <f>SUM(G56:G82)</f>
        <v/>
      </c>
    </row>
    <row r="57" ht="20" customHeight="1">
      <c r="A57" s="7" t="n"/>
      <c r="B57" s="7" t="n"/>
      <c r="C57" s="7" t="n"/>
      <c r="D57" s="8" t="n"/>
      <c r="E57" s="8" t="n"/>
      <c r="F57" s="8" t="n"/>
      <c r="G57" s="4">
        <f>0.2*E56</f>
        <v/>
      </c>
      <c r="H57" s="6">
        <f>G57*10451</f>
        <v/>
      </c>
      <c r="I57" s="3" t="inlineStr">
        <is>
          <t>RFS</t>
        </is>
      </c>
      <c r="J57" s="2" t="inlineStr"/>
      <c r="K57" s="7" t="n"/>
    </row>
    <row r="58" ht="20" customHeight="1">
      <c r="A58" s="7" t="n"/>
      <c r="B58" s="7" t="n"/>
      <c r="C58" s="7" t="n"/>
      <c r="D58" s="9" t="n"/>
      <c r="E58" s="9" t="n"/>
      <c r="F58" s="9" t="n"/>
      <c r="G58" s="4">
        <f>0.2*E56</f>
        <v/>
      </c>
      <c r="H58" s="6">
        <f>G58*10451</f>
        <v/>
      </c>
      <c r="I58" s="3" t="inlineStr">
        <is>
          <t>PAC</t>
        </is>
      </c>
      <c r="J58" s="2" t="inlineStr"/>
      <c r="K58" s="7" t="n"/>
    </row>
    <row r="59" ht="20" customHeight="1">
      <c r="A59" s="7" t="n"/>
      <c r="B59" s="7" t="n"/>
      <c r="C59" s="7" t="n"/>
      <c r="D59" s="2" t="inlineStr">
        <is>
          <t>AE-13933</t>
        </is>
      </c>
      <c r="E59" s="4" t="n">
        <v>16</v>
      </c>
      <c r="F59" s="5" t="inlineStr">
        <is>
          <t>PAC</t>
        </is>
      </c>
      <c r="G59" s="4">
        <f>0.6*E59</f>
        <v/>
      </c>
      <c r="H59" s="6">
        <f>G59*10451</f>
        <v/>
      </c>
      <c r="I59" s="3" t="inlineStr">
        <is>
          <t>UAT</t>
        </is>
      </c>
      <c r="J59" s="2" t="inlineStr"/>
      <c r="K59" s="7" t="n"/>
    </row>
    <row r="60" ht="20" customHeight="1">
      <c r="A60" s="7" t="n"/>
      <c r="B60" s="7" t="n"/>
      <c r="C60" s="7" t="n"/>
      <c r="D60" s="8" t="n"/>
      <c r="E60" s="8" t="n"/>
      <c r="F60" s="8" t="n"/>
      <c r="G60" s="4">
        <f>0.2*E59</f>
        <v/>
      </c>
      <c r="H60" s="6">
        <f>G60*10451</f>
        <v/>
      </c>
      <c r="I60" s="3" t="inlineStr">
        <is>
          <t>RFS</t>
        </is>
      </c>
      <c r="J60" s="2" t="inlineStr"/>
      <c r="K60" s="7" t="n"/>
    </row>
    <row r="61" ht="20" customHeight="1">
      <c r="A61" s="7" t="n"/>
      <c r="B61" s="7" t="n"/>
      <c r="C61" s="7" t="n"/>
      <c r="D61" s="9" t="n"/>
      <c r="E61" s="9" t="n"/>
      <c r="F61" s="9" t="n"/>
      <c r="G61" s="4">
        <f>0.2*E59</f>
        <v/>
      </c>
      <c r="H61" s="6">
        <f>G61*10451</f>
        <v/>
      </c>
      <c r="I61" s="3" t="inlineStr">
        <is>
          <t>PAC</t>
        </is>
      </c>
      <c r="J61" s="2" t="inlineStr"/>
      <c r="K61" s="7" t="n"/>
    </row>
    <row r="62" ht="20" customHeight="1">
      <c r="A62" s="7" t="n"/>
      <c r="B62" s="7" t="n"/>
      <c r="C62" s="7" t="n"/>
      <c r="D62" s="2" t="inlineStr">
        <is>
          <t>AE-14362</t>
        </is>
      </c>
      <c r="E62" s="4" t="n">
        <v>19</v>
      </c>
      <c r="F62" s="5" t="inlineStr">
        <is>
          <t>PAC</t>
        </is>
      </c>
      <c r="G62" s="4">
        <f>0.6*E62</f>
        <v/>
      </c>
      <c r="H62" s="6">
        <f>G62*10451</f>
        <v/>
      </c>
      <c r="I62" s="3" t="inlineStr">
        <is>
          <t>UAT</t>
        </is>
      </c>
      <c r="J62" s="2" t="inlineStr"/>
      <c r="K62" s="7" t="n"/>
    </row>
    <row r="63" ht="20" customHeight="1">
      <c r="A63" s="7" t="n"/>
      <c r="B63" s="7" t="n"/>
      <c r="C63" s="7" t="n"/>
      <c r="D63" s="8" t="n"/>
      <c r="E63" s="8" t="n"/>
      <c r="F63" s="8" t="n"/>
      <c r="G63" s="4">
        <f>0.2*E62</f>
        <v/>
      </c>
      <c r="H63" s="6">
        <f>G63*10451</f>
        <v/>
      </c>
      <c r="I63" s="3" t="inlineStr">
        <is>
          <t>RFS</t>
        </is>
      </c>
      <c r="J63" s="2" t="inlineStr"/>
      <c r="K63" s="7" t="n"/>
    </row>
    <row r="64" ht="20" customHeight="1">
      <c r="A64" s="7" t="n"/>
      <c r="B64" s="7" t="n"/>
      <c r="C64" s="7" t="n"/>
      <c r="D64" s="9" t="n"/>
      <c r="E64" s="9" t="n"/>
      <c r="F64" s="9" t="n"/>
      <c r="G64" s="4">
        <f>0.2*E62</f>
        <v/>
      </c>
      <c r="H64" s="6">
        <f>G64*10451</f>
        <v/>
      </c>
      <c r="I64" s="3" t="inlineStr">
        <is>
          <t>PAC</t>
        </is>
      </c>
      <c r="J64" s="2" t="inlineStr"/>
      <c r="K64" s="7" t="n"/>
    </row>
    <row r="65" ht="20" customHeight="1">
      <c r="A65" s="7" t="n"/>
      <c r="B65" s="7" t="n"/>
      <c r="C65" s="7" t="n"/>
      <c r="D65" s="2" t="inlineStr">
        <is>
          <t>AE-14523</t>
        </is>
      </c>
      <c r="E65" s="4" t="n">
        <v>22</v>
      </c>
      <c r="F65" s="5" t="inlineStr">
        <is>
          <t>PAC</t>
        </is>
      </c>
      <c r="G65" s="4">
        <f>0.6*E65</f>
        <v/>
      </c>
      <c r="H65" s="6">
        <f>G65*10451</f>
        <v/>
      </c>
      <c r="I65" s="3" t="inlineStr">
        <is>
          <t>UAT</t>
        </is>
      </c>
      <c r="J65" s="2" t="inlineStr"/>
      <c r="K65" s="7" t="n"/>
    </row>
    <row r="66" ht="20" customHeight="1">
      <c r="A66" s="7" t="n"/>
      <c r="B66" s="7" t="n"/>
      <c r="C66" s="7" t="n"/>
      <c r="D66" s="8" t="n"/>
      <c r="E66" s="8" t="n"/>
      <c r="F66" s="8" t="n"/>
      <c r="G66" s="4">
        <f>0.2*E65</f>
        <v/>
      </c>
      <c r="H66" s="6">
        <f>G66*10451</f>
        <v/>
      </c>
      <c r="I66" s="3" t="inlineStr">
        <is>
          <t>RFS</t>
        </is>
      </c>
      <c r="J66" s="2" t="inlineStr"/>
      <c r="K66" s="7" t="n"/>
    </row>
    <row r="67" ht="20" customHeight="1">
      <c r="A67" s="7" t="n"/>
      <c r="B67" s="7" t="n"/>
      <c r="C67" s="7" t="n"/>
      <c r="D67" s="9" t="n"/>
      <c r="E67" s="9" t="n"/>
      <c r="F67" s="9" t="n"/>
      <c r="G67" s="4">
        <f>0.2*E65</f>
        <v/>
      </c>
      <c r="H67" s="6">
        <f>G67*10451</f>
        <v/>
      </c>
      <c r="I67" s="3" t="inlineStr">
        <is>
          <t>PAC</t>
        </is>
      </c>
      <c r="J67" s="2" t="inlineStr"/>
      <c r="K67" s="7" t="n"/>
    </row>
    <row r="68" ht="20" customHeight="1">
      <c r="A68" s="7" t="n"/>
      <c r="B68" s="7" t="n"/>
      <c r="C68" s="7" t="n"/>
      <c r="D68" s="2" t="inlineStr">
        <is>
          <t>AE-14985</t>
        </is>
      </c>
      <c r="E68" s="4" t="n">
        <v>21</v>
      </c>
      <c r="F68" s="5" t="inlineStr">
        <is>
          <t>PAC</t>
        </is>
      </c>
      <c r="G68" s="4">
        <f>0.6*E68</f>
        <v/>
      </c>
      <c r="H68" s="6">
        <f>G68*10451</f>
        <v/>
      </c>
      <c r="I68" s="3" t="inlineStr">
        <is>
          <t>UAT</t>
        </is>
      </c>
      <c r="J68" s="2" t="inlineStr"/>
      <c r="K68" s="7" t="n"/>
    </row>
    <row r="69" ht="20" customHeight="1">
      <c r="A69" s="7" t="n"/>
      <c r="B69" s="7" t="n"/>
      <c r="C69" s="7" t="n"/>
      <c r="D69" s="8" t="n"/>
      <c r="E69" s="8" t="n"/>
      <c r="F69" s="8" t="n"/>
      <c r="G69" s="4">
        <f>0.2*E68</f>
        <v/>
      </c>
      <c r="H69" s="6">
        <f>G69*10451</f>
        <v/>
      </c>
      <c r="I69" s="3" t="inlineStr">
        <is>
          <t>RFS</t>
        </is>
      </c>
      <c r="J69" s="2" t="inlineStr"/>
      <c r="K69" s="7" t="n"/>
    </row>
    <row r="70" ht="20" customHeight="1">
      <c r="A70" s="7" t="n"/>
      <c r="B70" s="7" t="n"/>
      <c r="C70" s="7" t="n"/>
      <c r="D70" s="9" t="n"/>
      <c r="E70" s="9" t="n"/>
      <c r="F70" s="9" t="n"/>
      <c r="G70" s="4">
        <f>0.2*E68</f>
        <v/>
      </c>
      <c r="H70" s="6">
        <f>G70*10451</f>
        <v/>
      </c>
      <c r="I70" s="3" t="inlineStr">
        <is>
          <t>PAC</t>
        </is>
      </c>
      <c r="J70" s="2" t="inlineStr"/>
      <c r="K70" s="7" t="n"/>
    </row>
    <row r="71" ht="20" customHeight="1">
      <c r="A71" s="7" t="n"/>
      <c r="B71" s="7" t="n"/>
      <c r="C71" s="7" t="n"/>
      <c r="D71" s="2" t="inlineStr">
        <is>
          <t>AE-14784</t>
        </is>
      </c>
      <c r="E71" s="4" t="n">
        <v>11</v>
      </c>
      <c r="F71" s="5" t="inlineStr">
        <is>
          <t>PAC</t>
        </is>
      </c>
      <c r="G71" s="4">
        <f>0.6*E71</f>
        <v/>
      </c>
      <c r="H71" s="6">
        <f>G71*10451</f>
        <v/>
      </c>
      <c r="I71" s="3" t="inlineStr">
        <is>
          <t>UAT</t>
        </is>
      </c>
      <c r="J71" s="2" t="inlineStr"/>
      <c r="K71" s="7" t="n"/>
    </row>
    <row r="72" ht="20" customHeight="1">
      <c r="A72" s="7" t="n"/>
      <c r="B72" s="7" t="n"/>
      <c r="C72" s="7" t="n"/>
      <c r="D72" s="8" t="n"/>
      <c r="E72" s="8" t="n"/>
      <c r="F72" s="8" t="n"/>
      <c r="G72" s="4">
        <f>0.2*E71</f>
        <v/>
      </c>
      <c r="H72" s="6">
        <f>G72*10451</f>
        <v/>
      </c>
      <c r="I72" s="3" t="inlineStr">
        <is>
          <t>RFS</t>
        </is>
      </c>
      <c r="J72" s="2" t="inlineStr"/>
      <c r="K72" s="7" t="n"/>
    </row>
    <row r="73" ht="20" customHeight="1">
      <c r="A73" s="7" t="n"/>
      <c r="B73" s="7" t="n"/>
      <c r="C73" s="7" t="n"/>
      <c r="D73" s="9" t="n"/>
      <c r="E73" s="9" t="n"/>
      <c r="F73" s="9" t="n"/>
      <c r="G73" s="4">
        <f>0.2*E71</f>
        <v/>
      </c>
      <c r="H73" s="6">
        <f>G73*10451</f>
        <v/>
      </c>
      <c r="I73" s="3" t="inlineStr">
        <is>
          <t>PAC</t>
        </is>
      </c>
      <c r="J73" s="2" t="inlineStr"/>
      <c r="K73" s="7" t="n"/>
    </row>
    <row r="74" ht="20" customHeight="1">
      <c r="A74" s="7" t="n"/>
      <c r="B74" s="7" t="n"/>
      <c r="C74" s="7" t="n"/>
      <c r="D74" s="2" t="inlineStr">
        <is>
          <t>AE-14785</t>
        </is>
      </c>
      <c r="E74" s="4" t="n">
        <v>7</v>
      </c>
      <c r="F74" s="5" t="inlineStr">
        <is>
          <t>PAC</t>
        </is>
      </c>
      <c r="G74" s="4">
        <f>0.6*E74</f>
        <v/>
      </c>
      <c r="H74" s="6">
        <f>G74*10451</f>
        <v/>
      </c>
      <c r="I74" s="3" t="inlineStr">
        <is>
          <t>UAT</t>
        </is>
      </c>
      <c r="J74" s="2" t="inlineStr"/>
      <c r="K74" s="7" t="n"/>
    </row>
    <row r="75" ht="20" customHeight="1">
      <c r="A75" s="7" t="n"/>
      <c r="B75" s="7" t="n"/>
      <c r="C75" s="7" t="n"/>
      <c r="D75" s="8" t="n"/>
      <c r="E75" s="8" t="n"/>
      <c r="F75" s="8" t="n"/>
      <c r="G75" s="4">
        <f>0.2*E74</f>
        <v/>
      </c>
      <c r="H75" s="6">
        <f>G75*10451</f>
        <v/>
      </c>
      <c r="I75" s="3" t="inlineStr">
        <is>
          <t>RFS</t>
        </is>
      </c>
      <c r="J75" s="2" t="inlineStr"/>
      <c r="K75" s="7" t="n"/>
    </row>
    <row r="76" ht="20" customHeight="1">
      <c r="A76" s="7" t="n"/>
      <c r="B76" s="7" t="n"/>
      <c r="C76" s="7" t="n"/>
      <c r="D76" s="9" t="n"/>
      <c r="E76" s="9" t="n"/>
      <c r="F76" s="9" t="n"/>
      <c r="G76" s="4">
        <f>0.2*E74</f>
        <v/>
      </c>
      <c r="H76" s="6">
        <f>G76*10451</f>
        <v/>
      </c>
      <c r="I76" s="3" t="inlineStr">
        <is>
          <t>PAC</t>
        </is>
      </c>
      <c r="J76" s="2" t="inlineStr"/>
      <c r="K76" s="7" t="n"/>
    </row>
    <row r="77" ht="20" customHeight="1">
      <c r="A77" s="7" t="n"/>
      <c r="B77" s="7" t="n"/>
      <c r="C77" s="7" t="n"/>
      <c r="D77" s="2" t="inlineStr">
        <is>
          <t>AE-15203</t>
        </is>
      </c>
      <c r="E77" s="4" t="n">
        <v>20</v>
      </c>
      <c r="F77" s="5" t="inlineStr">
        <is>
          <t>PAC</t>
        </is>
      </c>
      <c r="G77" s="4">
        <f>0.6*E77</f>
        <v/>
      </c>
      <c r="H77" s="6">
        <f>G77*10451</f>
        <v/>
      </c>
      <c r="I77" s="3" t="inlineStr">
        <is>
          <t>UAT</t>
        </is>
      </c>
      <c r="J77" s="2" t="inlineStr"/>
      <c r="K77" s="7" t="n"/>
    </row>
    <row r="78" ht="20" customHeight="1">
      <c r="A78" s="7" t="n"/>
      <c r="B78" s="7" t="n"/>
      <c r="C78" s="7" t="n"/>
      <c r="D78" s="8" t="n"/>
      <c r="E78" s="8" t="n"/>
      <c r="F78" s="8" t="n"/>
      <c r="G78" s="4">
        <f>0.2*E77</f>
        <v/>
      </c>
      <c r="H78" s="6">
        <f>G78*10451</f>
        <v/>
      </c>
      <c r="I78" s="3" t="inlineStr">
        <is>
          <t>RFS</t>
        </is>
      </c>
      <c r="J78" s="2" t="inlineStr"/>
      <c r="K78" s="7" t="n"/>
    </row>
    <row r="79" ht="20" customHeight="1">
      <c r="A79" s="7" t="n"/>
      <c r="B79" s="7" t="n"/>
      <c r="C79" s="7" t="n"/>
      <c r="D79" s="9" t="n"/>
      <c r="E79" s="9" t="n"/>
      <c r="F79" s="9" t="n"/>
      <c r="G79" s="4">
        <f>0.2*E77</f>
        <v/>
      </c>
      <c r="H79" s="6">
        <f>G79*10451</f>
        <v/>
      </c>
      <c r="I79" s="3" t="inlineStr">
        <is>
          <t>PAC</t>
        </is>
      </c>
      <c r="J79" s="2" t="inlineStr"/>
      <c r="K79" s="7" t="n"/>
    </row>
    <row r="80" ht="20" customHeight="1">
      <c r="A80" s="7" t="n"/>
      <c r="B80" s="7" t="n"/>
      <c r="C80" s="7" t="n"/>
      <c r="D80" s="2" t="inlineStr">
        <is>
          <t>AE-15203</t>
        </is>
      </c>
      <c r="E80" s="4" t="n">
        <v>-48</v>
      </c>
      <c r="F80" s="5" t="inlineStr">
        <is>
          <t>PAC</t>
        </is>
      </c>
      <c r="G80" s="4">
        <f>0.6*E80</f>
        <v/>
      </c>
      <c r="H80" s="6">
        <f>G80*10451</f>
        <v/>
      </c>
      <c r="I80" s="3" t="inlineStr">
        <is>
          <t>UAT</t>
        </is>
      </c>
      <c r="J80" s="2" t="inlineStr"/>
      <c r="K80" s="7" t="n"/>
    </row>
    <row r="81" ht="20" customHeight="1">
      <c r="A81" s="7" t="n"/>
      <c r="B81" s="7" t="n"/>
      <c r="C81" s="7" t="n"/>
      <c r="D81" s="8" t="n"/>
      <c r="E81" s="8" t="n"/>
      <c r="F81" s="8" t="n"/>
      <c r="G81" s="4">
        <f>0.2*E80</f>
        <v/>
      </c>
      <c r="H81" s="6">
        <f>G81*10451</f>
        <v/>
      </c>
      <c r="I81" s="3" t="inlineStr">
        <is>
          <t>RFS</t>
        </is>
      </c>
      <c r="J81" s="2" t="inlineStr"/>
      <c r="K81" s="7" t="n"/>
    </row>
    <row r="82" ht="20" customHeight="1">
      <c r="A82" s="7" t="n"/>
      <c r="B82" s="7" t="n"/>
      <c r="C82" s="7" t="n"/>
      <c r="D82" s="9" t="n"/>
      <c r="E82" s="9" t="n"/>
      <c r="F82" s="9" t="n"/>
      <c r="G82" s="4">
        <f>0.2*E80</f>
        <v/>
      </c>
      <c r="H82" s="6">
        <f>G82*10451</f>
        <v/>
      </c>
      <c r="I82" s="3" t="inlineStr">
        <is>
          <t>PAC</t>
        </is>
      </c>
      <c r="J82" s="2" t="inlineStr"/>
      <c r="K82" s="7" t="n"/>
    </row>
  </sheetData>
  <mergeCells count="89">
    <mergeCell ref="F17:F19"/>
    <mergeCell ref="A56:A82"/>
    <mergeCell ref="D53:D55"/>
    <mergeCell ref="K56:K82"/>
    <mergeCell ref="C56:C82"/>
    <mergeCell ref="D5:D7"/>
    <mergeCell ref="D68:D70"/>
    <mergeCell ref="E32:E34"/>
    <mergeCell ref="E26:E28"/>
    <mergeCell ref="D20:D22"/>
    <mergeCell ref="D29:D31"/>
    <mergeCell ref="F29:F31"/>
    <mergeCell ref="F11:F13"/>
    <mergeCell ref="E71:E73"/>
    <mergeCell ref="E8:E10"/>
    <mergeCell ref="D65:D67"/>
    <mergeCell ref="F65:F67"/>
    <mergeCell ref="F59:F61"/>
    <mergeCell ref="D80:D82"/>
    <mergeCell ref="F80:F82"/>
    <mergeCell ref="D2:D4"/>
    <mergeCell ref="E35:E37"/>
    <mergeCell ref="E44:E46"/>
    <mergeCell ref="E59:E61"/>
    <mergeCell ref="D41:D43"/>
    <mergeCell ref="F41:F43"/>
    <mergeCell ref="F23:F25"/>
    <mergeCell ref="F50:F52"/>
    <mergeCell ref="D56:D58"/>
    <mergeCell ref="E77:E79"/>
    <mergeCell ref="E62:E64"/>
    <mergeCell ref="F77:F79"/>
    <mergeCell ref="D35:D37"/>
    <mergeCell ref="D44:D46"/>
    <mergeCell ref="F44:F46"/>
    <mergeCell ref="E38:E40"/>
    <mergeCell ref="F5:F7"/>
    <mergeCell ref="B56:B82"/>
    <mergeCell ref="F56:F58"/>
    <mergeCell ref="D32:D34"/>
    <mergeCell ref="F32:F34"/>
    <mergeCell ref="E65:E67"/>
    <mergeCell ref="E74:E76"/>
    <mergeCell ref="F38:F40"/>
    <mergeCell ref="D74:D76"/>
    <mergeCell ref="E11:E13"/>
    <mergeCell ref="D71:D73"/>
    <mergeCell ref="E53:E55"/>
    <mergeCell ref="E47:E49"/>
    <mergeCell ref="D26:D28"/>
    <mergeCell ref="B2:B55"/>
    <mergeCell ref="D50:D52"/>
    <mergeCell ref="D59:D61"/>
    <mergeCell ref="F53:F55"/>
    <mergeCell ref="E20:E22"/>
    <mergeCell ref="F68:F70"/>
    <mergeCell ref="E14:E16"/>
    <mergeCell ref="E29:E31"/>
    <mergeCell ref="E23:E25"/>
    <mergeCell ref="D77:D79"/>
    <mergeCell ref="F20:F22"/>
    <mergeCell ref="F2:F4"/>
    <mergeCell ref="K2:K55"/>
    <mergeCell ref="A2:A55"/>
    <mergeCell ref="C2:C55"/>
    <mergeCell ref="D47:D49"/>
    <mergeCell ref="F47:F49"/>
    <mergeCell ref="E80:E82"/>
    <mergeCell ref="E2:E4"/>
    <mergeCell ref="D62:D64"/>
    <mergeCell ref="F62:F64"/>
    <mergeCell ref="F71:F73"/>
    <mergeCell ref="D8:D10"/>
    <mergeCell ref="E41:E43"/>
    <mergeCell ref="E50:E52"/>
    <mergeCell ref="D14:D16"/>
    <mergeCell ref="F14:F16"/>
    <mergeCell ref="D23:D25"/>
    <mergeCell ref="E56:E58"/>
    <mergeCell ref="D38:D40"/>
    <mergeCell ref="E17:E19"/>
    <mergeCell ref="E68:E70"/>
    <mergeCell ref="D17:D19"/>
    <mergeCell ref="E5:E7"/>
    <mergeCell ref="F74:F76"/>
    <mergeCell ref="F26:F28"/>
    <mergeCell ref="F35:F37"/>
    <mergeCell ref="D11:D13"/>
    <mergeCell ref="F8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2026-09-07T03:17:02Z</dcterms:created>
  <dcterms:modified xsi:type="dcterms:W3CDTF">2026-09-07T03:17:48Z</dcterms:modified>
</cp:coreProperties>
</file>